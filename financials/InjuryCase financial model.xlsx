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Monthly Conservative" sheetId="3" state="visible" r:id="rId5"/>
    <sheet name="Monthly Base" sheetId="4" state="visible" r:id="rId6"/>
    <sheet name="Monthly Aggressive" sheetId="5" state="visible" r:id="rId7"/>
    <sheet name="Sources &amp; not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<sst xmlns="http://schemas.openxmlformats.org/spreadsheetml/2006/main" count="329" uniqueCount="162">
  <si>
    <t xml:space="preserve">InjuryCase — 5-year projection summary</t>
  </si>
  <si>
    <t xml:space="preserve">Planning model, not a forecast. Market counts and capture rates are estimates — see Assumptions and Sources. Edit blue cells on Assumptions.</t>
  </si>
  <si>
    <t xml:space="preserve">Conservative scenario</t>
  </si>
  <si>
    <t xml:space="preserve">($, US)</t>
  </si>
  <si>
    <t xml:space="preserve">Year 1</t>
  </si>
  <si>
    <t xml:space="preserve">Year 2</t>
  </si>
  <si>
    <t xml:space="preserve">Year 3</t>
  </si>
  <si>
    <t xml:space="preserve">Year 4</t>
  </si>
  <si>
    <t xml:space="preserve">Year 5</t>
  </si>
  <si>
    <t xml:space="preserve">Customers (end of year)</t>
  </si>
  <si>
    <t xml:space="preserve">ARR, end of year ($)</t>
  </si>
  <si>
    <t xml:space="preserve">Revenue ($)</t>
  </si>
  <si>
    <t xml:space="preserve">Gross profit ($)</t>
  </si>
  <si>
    <t xml:space="preserve">Gross margin %</t>
  </si>
  <si>
    <t xml:space="preserve">Operating expenses ($)</t>
  </si>
  <si>
    <t xml:space="preserve">EBITDA ($)</t>
  </si>
  <si>
    <t xml:space="preserve">Cash, end of year ($)</t>
  </si>
  <si>
    <t xml:space="preserve">Lowest cash balance in 5 years ($)</t>
  </si>
  <si>
    <t xml:space="preserve">Funding needed to stay above $0 ($)</t>
  </si>
  <si>
    <t xml:space="preserve">First month with positive EBITDA</t>
  </si>
  <si>
    <t xml:space="preserve">Customer lifetime value ÷ acquisition cost (year 5)</t>
  </si>
  <si>
    <t xml:space="preserve">Share of addressable practices reached (year 5)</t>
  </si>
  <si>
    <t xml:space="preserve">Base scenario</t>
  </si>
  <si>
    <t xml:space="preserve">Aggressive scenario</t>
  </si>
  <si>
    <t xml:space="preserve">ARR by scenario, end of year ($)</t>
  </si>
  <si>
    <t xml:space="preserve">Scenario</t>
  </si>
  <si>
    <t xml:space="preserve">Conservative</t>
  </si>
  <si>
    <t xml:space="preserve">Base</t>
  </si>
  <si>
    <t xml:space="preserve">Aggressive</t>
  </si>
  <si>
    <t xml:space="preserve">InjuryCase — 5-year financial model: assumptions</t>
  </si>
  <si>
    <t xml:space="preserve">Blue = input you can change · yellow = key assumption · black = formula · green = link to another sheet. Monthly sheets and the Summary recalculate from these cells.</t>
  </si>
  <si>
    <t xml:space="preserve">Market segments (US practices that treat injury patients)</t>
  </si>
  <si>
    <t xml:space="preserve">Segment</t>
  </si>
  <si>
    <t xml:space="preserve">US practices</t>
  </si>
  <si>
    <t xml:space="preserve">% treating PI (est.)</t>
  </si>
  <si>
    <t xml:space="preserve">Addressable practices</t>
  </si>
  <si>
    <t xml:space="preserve">Launch month</t>
  </si>
  <si>
    <t xml:space="preserve">Monthly capture — Conservative</t>
  </si>
  <si>
    <t xml:space="preserve">Monthly capture — Base</t>
  </si>
  <si>
    <t xml:space="preserve">Monthly capture — Aggressive</t>
  </si>
  <si>
    <t xml:space="preserve">Price multiplier (plan mix vs. chiro)</t>
  </si>
  <si>
    <t xml:space="preserve">Source / basis</t>
  </si>
  <si>
    <t xml:space="preserve">Chiropractic clinics</t>
  </si>
  <si>
    <t xml:space="preserve">Practices: IBISWorld, Chiropractors in the US, 2026 business count (ibisworld.com/united-states/number-of-businesses/chiropractors/1559). PI share is an estimate; NBCE Practice Analysis: ~14% of a typical chiropractor's patients come after a motor-vehicle accident.</t>
  </si>
  <si>
    <t xml:space="preserve">Physical therapy clinics</t>
  </si>
  <si>
    <t xml:space="preserve">Practices: ~38,000–40,000 outpatient PT clinics (APTA-based estimate, withorbital.com/data/largest-physical-therapy-chains-in-the-us). PI share estimated. Launch after PT-specific care-guide changes.</t>
  </si>
  <si>
    <t xml:space="preserve">Medical injury clinics (MD/DO, urgent care treating PI)</t>
  </si>
  <si>
    <t xml:space="preserve">No census found — 6,000 is a planning estimate. PI share estimated.</t>
  </si>
  <si>
    <t xml:space="preserve">Orthopedic practices</t>
  </si>
  <si>
    <t xml:space="preserve">Practices: Ciro, How many orthopedic practices are in the US (2024): 23,142 tracked. PI share estimated. Launch after a specialty module (procedures, surgical liens).</t>
  </si>
  <si>
    <t xml:space="preserve">Pain management practices</t>
  </si>
  <si>
    <t xml:space="preserve">Planning estimate: Definitive Healthcare lists 900+ pain-management groups (Dec 2025), most with several sites. PI share estimated. Launch after the specialty module.</t>
  </si>
  <si>
    <t xml:space="preserve">Total</t>
  </si>
  <si>
    <t xml:space="preserve">Monthly capture = share of a segment's addressable practices that become paying customers each month once marketing is fully ramped.</t>
  </si>
  <si>
    <t xml:space="preserve">Pricing (current plans)</t>
  </si>
  <si>
    <t xml:space="preserve">Plan</t>
  </si>
  <si>
    <t xml:space="preserve">Monthly price</t>
  </si>
  <si>
    <t xml:space="preserve">Plan mix</t>
  </si>
  <si>
    <t xml:space="preserve">Notes</t>
  </si>
  <si>
    <t xml:space="preserve">Silver</t>
  </si>
  <si>
    <t xml:space="preserve">Prices from app/saas.php (PLANS). Plan mix is an estimate for chiropractic clinics; segment price multipliers lift it for larger practices.</t>
  </si>
  <si>
    <t xml:space="preserve">Gold</t>
  </si>
  <si>
    <t xml:space="preserve">Platinum</t>
  </si>
  <si>
    <t xml:space="preserve">Plan mix check (must be 100%)</t>
  </si>
  <si>
    <t xml:space="preserve">Customers on annual billing</t>
  </si>
  <si>
    <t xml:space="preserve">Annual plans are charged 10 months for 12 (ANNUAL_MONTHS_CHARGED).</t>
  </si>
  <si>
    <t xml:space="preserve">Months charged on an annual plan</t>
  </si>
  <si>
    <t xml:space="preserve">List-price multiplier (1.0 = today's prices)</t>
  </si>
  <si>
    <t xml:space="preserve">Pricing lever: try 1.5 or 2.0 to test higher prices.</t>
  </si>
  <si>
    <t xml:space="preserve">Blended revenue per chiro customer per month</t>
  </si>
  <si>
    <t xml:space="preserve">Scenario levers</t>
  </si>
  <si>
    <t xml:space="preserve">Lever</t>
  </si>
  <si>
    <t xml:space="preserve">Monthly customer churn</t>
  </si>
  <si>
    <t xml:space="preserve">Small-practice SaaS commonly loses 1.5–4% of customers a month.</t>
  </si>
  <si>
    <t xml:space="preserve">Acquisition cost per new paying customer</t>
  </si>
  <si>
    <t xml:space="preserve">Ads, conferences, attorney and association referrals, sales time.</t>
  </si>
  <si>
    <t xml:space="preserve">Annual price increase</t>
  </si>
  <si>
    <t xml:space="preserve">Applied at the start of each year after year 1.</t>
  </si>
  <si>
    <t xml:space="preserve">Months to reach full marketing ramp per segment</t>
  </si>
  <si>
    <t xml:space="preserve">New customers grow linearly from launch to the full capture rate.</t>
  </si>
  <si>
    <t xml:space="preserve">Costs (all scenarios)</t>
  </si>
  <si>
    <t xml:space="preserve">Item</t>
  </si>
  <si>
    <t xml:space="preserve">Value</t>
  </si>
  <si>
    <t xml:space="preserve">Card processing: % of revenue</t>
  </si>
  <si>
    <t xml:space="preserve">Stripe standard US card pricing.</t>
  </si>
  <si>
    <t xml:space="preserve">Card processing: fee per charge</t>
  </si>
  <si>
    <t xml:space="preserve">Hosting: fixed per month</t>
  </si>
  <si>
    <t xml:space="preserve">AWS stack (deploy/aws): ~$40/mo minimum; budgeted higher for Multi-AZ database, backups and monitoring.</t>
  </si>
  <si>
    <t xml:space="preserve">Hosting: per customer per month</t>
  </si>
  <si>
    <t xml:space="preserve">Storage, email (SES) and compute growth.</t>
  </si>
  <si>
    <t xml:space="preserve">Customers per support person</t>
  </si>
  <si>
    <t xml:space="preserve">Estimate.</t>
  </si>
  <si>
    <t xml:space="preserve">Support salary, fully loaded (per year)</t>
  </si>
  <si>
    <t xml:space="preserve">Engineer, fully loaded (per year)</t>
  </si>
  <si>
    <t xml:space="preserve">Estimate; can be contractors.</t>
  </si>
  <si>
    <t xml:space="preserve">Marketing: fixed per month</t>
  </si>
  <si>
    <t xml:space="preserve">Website, content, tools.</t>
  </si>
  <si>
    <t xml:space="preserve">Legal review: one-time in month 1</t>
  </si>
  <si>
    <t xml:space="preserve">Attorney review of Terms, BAA and state rules (flagged as needed in the app).</t>
  </si>
  <si>
    <t xml:space="preserve">SOC 2 audit: one-time</t>
  </si>
  <si>
    <t xml:space="preserve">Often required by larger groups.</t>
  </si>
  <si>
    <t xml:space="preserve">SOC 2 audit: month</t>
  </si>
  <si>
    <t xml:space="preserve">Compliance and legal: per month</t>
  </si>
  <si>
    <t xml:space="preserve">Ongoing counsel, HIPAA program.</t>
  </si>
  <si>
    <t xml:space="preserve">Insurance (cyber, E&amp;O): per month</t>
  </si>
  <si>
    <t xml:space="preserve">Other G&amp;A (software, accounting): per month</t>
  </si>
  <si>
    <t xml:space="preserve">Starting cash</t>
  </si>
  <si>
    <t xml:space="preserve">Change to your actual funds.</t>
  </si>
  <si>
    <t xml:space="preserve">Headcount and pay by year</t>
  </si>
  <si>
    <t xml:space="preserve">Engineers (FTE)</t>
  </si>
  <si>
    <t xml:space="preserve">Lean build: founder plus contractors; grows with the specialty modules.</t>
  </si>
  <si>
    <t xml:space="preserve">Founder salary (per year)</t>
  </si>
  <si>
    <t xml:space="preserve">Monthly projection — Conservative scenario</t>
  </si>
  <si>
    <t xml:space="preserve">All values are formulas driven by the Assumptions sheet.</t>
  </si>
  <si>
    <t xml:space="preserve">Month</t>
  </si>
  <si>
    <t xml:space="preserve">Year</t>
  </si>
  <si>
    <t xml:space="preserve">Price factor (increases × list multiplier)</t>
  </si>
  <si>
    <t xml:space="preserve">Marketing ramp by segment</t>
  </si>
  <si>
    <t xml:space="preserve">New paying customers</t>
  </si>
  <si>
    <t xml:space="preserve">Active customers (end of month)</t>
  </si>
  <si>
    <t xml:space="preserve">Total new customers</t>
  </si>
  <si>
    <t xml:space="preserve">Customers lost (churn)</t>
  </si>
  <si>
    <t xml:space="preserve">Total active customers</t>
  </si>
  <si>
    <t xml:space="preserve">MRR ($)</t>
  </si>
  <si>
    <t xml:space="preserve">ARR ($)</t>
  </si>
  <si>
    <t xml:space="preserve">Cost of revenue</t>
  </si>
  <si>
    <t xml:space="preserve">Card processing</t>
  </si>
  <si>
    <t xml:space="preserve">Hosting</t>
  </si>
  <si>
    <t xml:space="preserve">Customer support</t>
  </si>
  <si>
    <t xml:space="preserve">Total cost of revenue</t>
  </si>
  <si>
    <t xml:space="preserve">Gross profit</t>
  </si>
  <si>
    <t xml:space="preserve">Operating expenses</t>
  </si>
  <si>
    <t xml:space="preserve">Engineering</t>
  </si>
  <si>
    <t xml:space="preserve">Founder salary</t>
  </si>
  <si>
    <t xml:space="preserve">Sales &amp; marketing</t>
  </si>
  <si>
    <t xml:space="preserve">Legal &amp; compliance</t>
  </si>
  <si>
    <t xml:space="preserve">Insurance</t>
  </si>
  <si>
    <t xml:space="preserve">Other G&amp;A</t>
  </si>
  <si>
    <t xml:space="preserve">Total operating expenses</t>
  </si>
  <si>
    <t xml:space="preserve">EBITDA</t>
  </si>
  <si>
    <t xml:space="preserve">Cash balance (end of month)</t>
  </si>
  <si>
    <t xml:space="preserve">Monthly projection — Base scenario</t>
  </si>
  <si>
    <t xml:space="preserve">Monthly projection — Aggressive scenario</t>
  </si>
  <si>
    <t xml:space="preserve">Sources and notes</t>
  </si>
  <si>
    <t xml:space="preserve">Chiropractic practices</t>
  </si>
  <si>
    <t xml:space="preserve">IBISWorld, Chiropractors in the US — Number of Businesses (66,061 in 2026, updated March 2026): https://www.ibisworld.com/united-states/number-of-businesses/chiropractors/1559/</t>
  </si>
  <si>
    <t xml:space="preserve">Chiropractic PI share</t>
  </si>
  <si>
    <t xml:space="preserve">NBCE Practice Analysis of Chiropractic (2015): about 14% of a typical chiropractor's patients seek care after a motor-vehicle accident: https://www.nbce.org/wp-content/uploads/chapter_08.pdf. The 35% of clinics treating PI is an estimate.</t>
  </si>
  <si>
    <t xml:space="preserve">About 38,000–40,000 outpatient PT clinics (APTA-based, vendor estimate): https://www.withorbital.com/data/largest-physical-therapy-chains-in-the-us/</t>
  </si>
  <si>
    <t xml:space="preserve">Ciro, How many orthopedic practices are in the US (2024), 23,142 tracked: https://www.ciro.io/blogs/how-many-orthopedic-practices-are-in-the-us-2024</t>
  </si>
  <si>
    <t xml:space="preserve">Pain management</t>
  </si>
  <si>
    <t xml:space="preserve">Definitive Healthcare, largest pain-management physician groups (900+ groups, Dec 2025): https://www.definitivehc.com/resources/healthcare-insights/largest-pain-management-physician-groups. The 5,000-location figure is an estimate.</t>
  </si>
  <si>
    <t xml:space="preserve">Medical injury clinics</t>
  </si>
  <si>
    <t xml:space="preserve">No census found; 6,000 is a planning estimate.</t>
  </si>
  <si>
    <t xml:space="preserve">Prices</t>
  </si>
  <si>
    <t xml:space="preserve">Silver $39, Gold $59, Platinum $79 per month; annual plans charged 10 months (app/saas.php).</t>
  </si>
  <si>
    <t xml:space="preserve">Product readiness</t>
  </si>
  <si>
    <t xml:space="preserve">Today the workflow is built around the primary treating provider (chiropractic first). PT and medical injury clinics need light changes (care guide wording, visit types), so they launch in month 7. Orthopedic and pain-management practices are mostly referral recipients with procedures, surgical liens and higher bills, so they launch in month 19 after a specialty module. Change the launch months on Assumptions.</t>
  </si>
  <si>
    <t xml:space="preserve">What the model leaves out</t>
  </si>
  <si>
    <t xml:space="preserve">Free-trial timing (customers are counted when they pay), taxes, depreciation, financing costs and working capital. Revenue is recognized monthly, including annual plans.</t>
  </si>
  <si>
    <t xml:space="preserve">Status</t>
  </si>
  <si>
    <t xml:space="preserve">Planning model, not a forecast or investment advice. Replace the estimates with your own data (trial-to-paid rate, churn and acquisition cost) as soon as you have it.</t>
  </si>
</sst>
</file>

<file path=xl/styles.xml><?xml version="1.0" encoding="utf-8"?>
<styleSheet xmlns="http://schemas.openxmlformats.org/spreadsheetml/2006/main">
  <numFmts count="12">
    <numFmt numFmtId="164" formatCode="General"/>
    <numFmt numFmtId="165" formatCode="#,##0;\(#,##0\);\-"/>
    <numFmt numFmtId="166" formatCode="\$#,##0;&quot;($&quot;#,##0\);\-"/>
    <numFmt numFmtId="167" formatCode="0.0%;\(0.0%\);\-"/>
    <numFmt numFmtId="168" formatCode="0.0\x"/>
    <numFmt numFmtId="169" formatCode="0.00%;\(0.00%\);\-"/>
    <numFmt numFmtId="170" formatCode="0.00\x"/>
    <numFmt numFmtId="171" formatCode="\$#,##0.00;&quot;($&quot;#,##0.00\);\-"/>
    <numFmt numFmtId="172" formatCode="0.00"/>
    <numFmt numFmtId="173" formatCode="0.000"/>
    <numFmt numFmtId="174" formatCode="0%"/>
    <numFmt numFmtId="175" formatCode="#,##0.0;\(#,##0.0\);\-"/>
  </numFmts>
  <fonts count="15">
    <font>
      <sz val="11"/>
      <color theme="1"/>
      <name val="Calibri"/>
      <family val="2"/>
      <charset val="1"/>
    </font>
    <font>
      <sz val="10"/>
      <name val="Arial"/>
      <family val="0"/>
    </font>
    <font>
      <sz val="10"/>
      <name val="Arial"/>
      <family val="0"/>
    </font>
    <font>
      <sz val="10"/>
      <name val="Arial"/>
      <family val="0"/>
    </font>
    <font>
      <b val="true"/>
      <sz val="14"/>
      <color rgb="FF0B2340"/>
      <name val="Arial"/>
      <family val="0"/>
      <charset val="1"/>
    </font>
    <font>
      <i val="true"/>
      <sz val="10"/>
      <color rgb="FF555555"/>
      <name val="Arial"/>
      <family val="0"/>
      <charset val="1"/>
    </font>
    <font>
      <b val="true"/>
      <sz val="10"/>
      <name val="Arial"/>
      <family val="0"/>
      <charset val="1"/>
    </font>
    <font>
      <b val="true"/>
      <sz val="10"/>
      <color rgb="FFFFFFFF"/>
      <name val="Arial"/>
      <family val="0"/>
      <charset val="1"/>
    </font>
    <font>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FF"/>
      <name val="Arial"/>
      <family val="0"/>
      <charset val="1"/>
    </font>
    <font>
      <sz val="9"/>
      <color rgb="FF555555"/>
      <name val="Arial"/>
      <family val="0"/>
      <charset val="1"/>
    </font>
  </fonts>
  <fills count="5">
    <fill>
      <patternFill patternType="none"/>
    </fill>
    <fill>
      <patternFill patternType="gray125"/>
    </fill>
    <fill>
      <patternFill patternType="solid">
        <fgColor rgb="FFEEF2F7"/>
        <bgColor rgb="FFFFFFFF"/>
      </patternFill>
    </fill>
    <fill>
      <patternFill patternType="solid">
        <fgColor rgb="FF0B2340"/>
        <bgColor rgb="FF00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13" fillId="4" borderId="0" xfId="0" applyFont="true" applyBorder="false" applyAlignment="false" applyProtection="false">
      <alignment horizontal="general" vertical="bottom" textRotation="0" wrapText="false" indent="0" shrinkToFit="false"/>
      <protection locked="true" hidden="false"/>
    </xf>
    <xf numFmtId="169" fontId="13" fillId="4"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70" fontId="13" fillId="4"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6" fontId="13" fillId="4" borderId="0" xfId="0" applyFont="true" applyBorder="false" applyAlignment="false" applyProtection="false">
      <alignment horizontal="general" vertical="bottom" textRotation="0" wrapText="false" indent="0" shrinkToFit="false"/>
      <protection locked="true" hidden="false"/>
    </xf>
    <xf numFmtId="165" fontId="13" fillId="4"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EEF2F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8B855"/>
      <rgbColor rgb="FFFFCC00"/>
      <rgbColor rgb="FFFF9900"/>
      <rgbColor rgb="FFFF6600"/>
      <rgbColor rgb="FF4A7EBB"/>
      <rgbColor rgb="FF969696"/>
      <rgbColor rgb="FF0B2340"/>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ARR by scenario</a:t>
            </a:r>
          </a:p>
        </c:rich>
      </c:tx>
      <c:overlay val="0"/>
      <c:spPr>
        <a:noFill/>
        <a:ln w="0">
          <a:noFill/>
        </a:ln>
      </c:spPr>
    </c:title>
    <c:autoTitleDeleted val="0"/>
    <c:plotArea>
      <c:lineChart>
        <c:grouping val="standard"/>
        <c:varyColors val="0"/>
        <c:ser>
          <c:idx val="0"/>
          <c:order val="0"/>
          <c:tx>
            <c:strRef>
              <c:f>Summary!A57</c:f>
              <c:strCache>
                <c:ptCount val="1"/>
                <c:pt idx="0">
                  <c:v>Conservative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Summary!$B$56:$F$56</c:f>
              <c:strCache>
                <c:ptCount val="5"/>
                <c:pt idx="0">
                  <c:v>Year 1</c:v>
                </c:pt>
                <c:pt idx="1">
                  <c:v>Year 2</c:v>
                </c:pt>
                <c:pt idx="2">
                  <c:v>Year 3</c:v>
                </c:pt>
                <c:pt idx="3">
                  <c:v>Year 4</c:v>
                </c:pt>
                <c:pt idx="4">
                  <c:v>Year 5</c:v>
                </c:pt>
              </c:strCache>
            </c:strRef>
          </c:cat>
          <c:val>
            <c:numRef>
              <c:f>Summary!$B$57:$F$57</c:f>
              <c:numCache>
                <c:formatCode>\$#,##0;"($"#,##0\);\-</c:formatCode>
                <c:ptCount val="5"/>
                <c:pt idx="0">
                  <c:v>43372.2372639511</c:v>
                </c:pt>
                <c:pt idx="1">
                  <c:v>139927.155724957</c:v>
                </c:pt>
                <c:pt idx="2">
                  <c:v>219952.538787865</c:v>
                </c:pt>
                <c:pt idx="3">
                  <c:v>274790.413885119</c:v>
                </c:pt>
                <c:pt idx="4">
                  <c:v>310551.308776207</c:v>
                </c:pt>
              </c:numCache>
            </c:numRef>
          </c:val>
          <c:smooth val="1"/>
        </c:ser>
        <c:ser>
          <c:idx val="1"/>
          <c:order val="1"/>
          <c:tx>
            <c:strRef>
              <c:f>Summary!A58</c:f>
              <c:strCache>
                <c:ptCount val="1"/>
                <c:pt idx="0">
                  <c:v>Base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Summary!$B$56:$F$56</c:f>
              <c:strCache>
                <c:ptCount val="5"/>
                <c:pt idx="0">
                  <c:v>Year 1</c:v>
                </c:pt>
                <c:pt idx="1">
                  <c:v>Year 2</c:v>
                </c:pt>
                <c:pt idx="2">
                  <c:v>Year 3</c:v>
                </c:pt>
                <c:pt idx="3">
                  <c:v>Year 4</c:v>
                </c:pt>
                <c:pt idx="4">
                  <c:v>Year 5</c:v>
                </c:pt>
              </c:strCache>
            </c:strRef>
          </c:cat>
          <c:val>
            <c:numRef>
              <c:f>Summary!$B$58:$F$58</c:f>
              <c:numCache>
                <c:formatCode>\$#,##0;"($"#,##0\);\-</c:formatCode>
                <c:ptCount val="5"/>
                <c:pt idx="0">
                  <c:v>93603.7661072511</c:v>
                </c:pt>
                <c:pt idx="1">
                  <c:v>282015.756511106</c:v>
                </c:pt>
                <c:pt idx="2">
                  <c:v>458340.646883514</c:v>
                </c:pt>
                <c:pt idx="3">
                  <c:v>602421.050584497</c:v>
                </c:pt>
                <c:pt idx="4">
                  <c:v>719562.646335257</c:v>
                </c:pt>
              </c:numCache>
            </c:numRef>
          </c:val>
          <c:smooth val="1"/>
        </c:ser>
        <c:ser>
          <c:idx val="2"/>
          <c:order val="2"/>
          <c:tx>
            <c:strRef>
              <c:f>Summary!A59</c:f>
              <c:strCache>
                <c:ptCount val="1"/>
                <c:pt idx="0">
                  <c:v>Aggressive</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Summary!$B$56:$F$56</c:f>
              <c:strCache>
                <c:ptCount val="5"/>
                <c:pt idx="0">
                  <c:v>Year 1</c:v>
                </c:pt>
                <c:pt idx="1">
                  <c:v>Year 2</c:v>
                </c:pt>
                <c:pt idx="2">
                  <c:v>Year 3</c:v>
                </c:pt>
                <c:pt idx="3">
                  <c:v>Year 4</c:v>
                </c:pt>
                <c:pt idx="4">
                  <c:v>Year 5</c:v>
                </c:pt>
              </c:strCache>
            </c:strRef>
          </c:cat>
          <c:val>
            <c:numRef>
              <c:f>Summary!$B$59:$F$59</c:f>
              <c:numCache>
                <c:formatCode>\$#,##0;"($"#,##0\);\-</c:formatCode>
                <c:ptCount val="5"/>
                <c:pt idx="0">
                  <c:v>190998.137262376</c:v>
                </c:pt>
                <c:pt idx="1">
                  <c:v>535848.708250235</c:v>
                </c:pt>
                <c:pt idx="2">
                  <c:v>889979.806525173</c:v>
                </c:pt>
                <c:pt idx="3">
                  <c:v>1212301.55745415</c:v>
                </c:pt>
                <c:pt idx="4">
                  <c:v>1507498.79209422</c:v>
                </c:pt>
              </c:numCache>
            </c:numRef>
          </c:val>
          <c:smooth val="1"/>
        </c:ser>
        <c:hiLowLines>
          <c:spPr>
            <a:ln w="0">
              <a:noFill/>
            </a:ln>
          </c:spPr>
        </c:hiLowLines>
        <c:marker val="0"/>
        <c:axId val="96949214"/>
        <c:axId val="13255406"/>
      </c:lineChart>
      <c:catAx>
        <c:axId val="9694921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255406"/>
        <c:crosses val="autoZero"/>
        <c:auto val="1"/>
        <c:lblAlgn val="ctr"/>
        <c:lblOffset val="100"/>
        <c:noMultiLvlLbl val="0"/>
      </c:catAx>
      <c:valAx>
        <c:axId val="1325540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ARR ($)</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9492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Customers at year end (Base)</a:t>
            </a:r>
          </a:p>
        </c:rich>
      </c:tx>
      <c:overlay val="0"/>
      <c:spPr>
        <a:noFill/>
        <a:ln w="0">
          <a:noFill/>
        </a:ln>
      </c:spPr>
    </c:title>
    <c:autoTitleDeleted val="0"/>
    <c:plotArea>
      <c:barChart>
        <c:barDir val="col"/>
        <c:grouping val="clustered"/>
        <c:varyColors val="0"/>
        <c:ser>
          <c:idx val="0"/>
          <c:order val="0"/>
          <c:tx>
            <c:strRef>
              <c:f>Summary!A23</c:f>
              <c:strCache>
                <c:ptCount val="1"/>
                <c:pt idx="0">
                  <c:v>Customers (end of year)</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Summary!$B$56:$F$56</c:f>
              <c:strCache>
                <c:ptCount val="5"/>
                <c:pt idx="0">
                  <c:v>Year 1</c:v>
                </c:pt>
                <c:pt idx="1">
                  <c:v>Year 2</c:v>
                </c:pt>
                <c:pt idx="2">
                  <c:v>Year 3</c:v>
                </c:pt>
                <c:pt idx="3">
                  <c:v>Year 4</c:v>
                </c:pt>
                <c:pt idx="4">
                  <c:v>Year 5</c:v>
                </c:pt>
              </c:strCache>
            </c:strRef>
          </c:cat>
          <c:val>
            <c:numRef>
              <c:f>Summary!$B$23:$F$23</c:f>
              <c:numCache>
                <c:formatCode>#,##0;\(#,##0\);\-</c:formatCode>
                <c:ptCount val="5"/>
                <c:pt idx="0">
                  <c:v>150.531836914019</c:v>
                </c:pt>
                <c:pt idx="1">
                  <c:v>433.053477825617</c:v>
                </c:pt>
                <c:pt idx="2">
                  <c:v>672.408303007601</c:v>
                </c:pt>
                <c:pt idx="3">
                  <c:v>851.950621177787</c:v>
                </c:pt>
                <c:pt idx="4">
                  <c:v>984.452554993267</c:v>
                </c:pt>
              </c:numCache>
            </c:numRef>
          </c:val>
        </c:ser>
        <c:gapWidth val="150"/>
        <c:overlap val="0"/>
        <c:axId val="15464584"/>
        <c:axId val="43172527"/>
      </c:barChart>
      <c:catAx>
        <c:axId val="154645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172527"/>
        <c:crosses val="autoZero"/>
        <c:auto val="1"/>
        <c:lblAlgn val="ctr"/>
        <c:lblOffset val="100"/>
        <c:noMultiLvlLbl val="0"/>
      </c:catAx>
      <c:valAx>
        <c:axId val="4317252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46458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160920</xdr:rowOff>
    </xdr:from>
    <xdr:to>
      <xdr:col>16</xdr:col>
      <xdr:colOff>255960</xdr:colOff>
      <xdr:row>17</xdr:row>
      <xdr:rowOff>182880</xdr:rowOff>
    </xdr:to>
    <xdr:graphicFrame>
      <xdr:nvGraphicFramePr>
        <xdr:cNvPr id="0" name="Chart 1"/>
        <xdr:cNvGraphicFramePr/>
      </xdr:nvGraphicFramePr>
      <xdr:xfrm>
        <a:off x="9281160" y="571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16</xdr:col>
      <xdr:colOff>255960</xdr:colOff>
      <xdr:row>35</xdr:row>
      <xdr:rowOff>182880</xdr:rowOff>
    </xdr:to>
    <xdr:graphicFrame>
      <xdr:nvGraphicFramePr>
        <xdr:cNvPr id="1" name="Chart 2"/>
        <xdr:cNvGraphicFramePr/>
      </xdr:nvGraphicFramePr>
      <xdr:xfrm>
        <a:off x="9281160" y="400068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6" min="2" style="0" width="1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c r="F5" s="4" t="s">
        <v>8</v>
      </c>
    </row>
    <row r="6" customFormat="false" ht="15" hidden="false" customHeight="false" outlineLevel="0" collapsed="false">
      <c r="A6" s="5" t="s">
        <v>9</v>
      </c>
      <c r="B6" s="6" t="n">
        <f aca="false">'Monthly Conservative'!N31</f>
        <v>69.7457781589905</v>
      </c>
      <c r="C6" s="6" t="n">
        <f aca="false">'Monthly Conservative'!Z31</f>
        <v>221.530517033216</v>
      </c>
      <c r="D6" s="6" t="n">
        <f aca="false">'Monthly Conservative'!AL31</f>
        <v>342.503956162195</v>
      </c>
      <c r="E6" s="6" t="n">
        <f aca="false">'Monthly Conservative'!AX31</f>
        <v>424.469980494419</v>
      </c>
      <c r="F6" s="6" t="n">
        <f aca="false">'Monthly Conservative'!BJ31</f>
        <v>477.921693851047</v>
      </c>
    </row>
    <row r="7" customFormat="false" ht="15" hidden="false" customHeight="false" outlineLevel="0" collapsed="false">
      <c r="A7" s="5" t="s">
        <v>10</v>
      </c>
      <c r="B7" s="7" t="n">
        <f aca="false">'Monthly Conservative'!N34</f>
        <v>43372.2372639511</v>
      </c>
      <c r="C7" s="7" t="n">
        <f aca="false">'Monthly Conservative'!Z34</f>
        <v>139927.155724957</v>
      </c>
      <c r="D7" s="7" t="n">
        <f aca="false">'Monthly Conservative'!AL34</f>
        <v>219952.538787865</v>
      </c>
      <c r="E7" s="7" t="n">
        <f aca="false">'Monthly Conservative'!AX34</f>
        <v>274790.413885119</v>
      </c>
      <c r="F7" s="7" t="n">
        <f aca="false">'Monthly Conservative'!BJ34</f>
        <v>310551.308776207</v>
      </c>
    </row>
    <row r="8" customFormat="false" ht="15" hidden="false" customHeight="false" outlineLevel="0" collapsed="false">
      <c r="A8" s="5" t="s">
        <v>11</v>
      </c>
      <c r="B8" s="8" t="n">
        <f aca="false">SUMPRODUCT(('Monthly Conservative'!$C$5:$BJ$5=1)*'Monthly Conservative'!$C$35:$BJ$35)</f>
        <v>16663.8796844933</v>
      </c>
      <c r="C8" s="8" t="n">
        <f aca="false">SUMPRODUCT(('Monthly Conservative'!$C$5:$BJ$5=2)*'Monthly Conservative'!$C$35:$BJ$35)</f>
        <v>95655.850120404</v>
      </c>
      <c r="D8" s="8" t="n">
        <f aca="false">SUMPRODUCT(('Monthly Conservative'!$C$5:$BJ$5=3)*'Monthly Conservative'!$C$35:$BJ$35)</f>
        <v>185143.317926794</v>
      </c>
      <c r="E8" s="8" t="n">
        <f aca="false">SUMPRODUCT(('Monthly Conservative'!$C$5:$BJ$5=4)*'Monthly Conservative'!$C$35:$BJ$35)</f>
        <v>251590.613462738</v>
      </c>
      <c r="F8" s="8" t="n">
        <f aca="false">SUMPRODUCT(('Monthly Conservative'!$C$5:$BJ$5=5)*'Monthly Conservative'!$C$35:$BJ$35)</f>
        <v>295422.246555477</v>
      </c>
    </row>
    <row r="9" customFormat="false" ht="15" hidden="false" customHeight="false" outlineLevel="0" collapsed="false">
      <c r="A9" s="5" t="s">
        <v>12</v>
      </c>
      <c r="B9" s="8" t="n">
        <f aca="false">SUMPRODUCT(('Monthly Conservative'!$C$5:$BJ$5=1)*'Monthly Conservative'!$C$42:$BJ$42)</f>
        <v>9168.17077274309</v>
      </c>
      <c r="C9" s="8" t="n">
        <f aca="false">SUMPRODUCT(('Monthly Conservative'!$C$5:$BJ$5=2)*'Monthly Conservative'!$C$42:$BJ$42)</f>
        <v>67154.3312564886</v>
      </c>
      <c r="D9" s="8" t="n">
        <f aca="false">SUMPRODUCT(('Monthly Conservative'!$C$5:$BJ$5=3)*'Monthly Conservative'!$C$42:$BJ$42)</f>
        <v>133499.707713307</v>
      </c>
      <c r="E9" s="8" t="n">
        <f aca="false">SUMPRODUCT(('Monthly Conservative'!$C$5:$BJ$5=4)*'Monthly Conservative'!$C$42:$BJ$42)</f>
        <v>183172.406524917</v>
      </c>
      <c r="F9" s="8" t="n">
        <f aca="false">SUMPRODUCT(('Monthly Conservative'!$C$5:$BJ$5=5)*'Monthly Conservative'!$C$42:$BJ$42)</f>
        <v>215963.977025262</v>
      </c>
    </row>
    <row r="10" customFormat="false" ht="15" hidden="false" customHeight="false" outlineLevel="0" collapsed="false">
      <c r="A10" s="5" t="s">
        <v>13</v>
      </c>
      <c r="B10" s="9" t="n">
        <f aca="false">IF(B8=0,0,B9/B8)</f>
        <v>0.550182247251496</v>
      </c>
      <c r="C10" s="9" t="n">
        <f aca="false">IF(C8=0,0,C9/C8)</f>
        <v>0.70204102699375</v>
      </c>
      <c r="D10" s="9" t="n">
        <f aca="false">IF(D8=0,0,D9/D8)</f>
        <v>0.721061441526574</v>
      </c>
      <c r="E10" s="9" t="n">
        <f aca="false">IF(E8=0,0,E9/E8)</f>
        <v>0.728057394526154</v>
      </c>
      <c r="F10" s="9" t="n">
        <f aca="false">IF(F8=0,0,F9/F8)</f>
        <v>0.731034915424715</v>
      </c>
    </row>
    <row r="11" customFormat="false" ht="15" hidden="false" customHeight="false" outlineLevel="0" collapsed="false">
      <c r="A11" s="5" t="s">
        <v>14</v>
      </c>
      <c r="B11" s="8" t="n">
        <f aca="false">SUMPRODUCT(('Monthly Conservative'!$C$5:$BJ$5=1)*'Monthly Conservative'!$C$52:$BJ$52)</f>
        <v>141763.9672</v>
      </c>
      <c r="C11" s="8" t="n">
        <f aca="false">SUMPRODUCT(('Monthly Conservative'!$C$5:$BJ$5=2)*'Monthly Conservative'!$C$52:$BJ$52)</f>
        <v>235893.4624</v>
      </c>
      <c r="D11" s="8" t="n">
        <f aca="false">SUMPRODUCT(('Monthly Conservative'!$C$5:$BJ$5=3)*'Monthly Conservative'!$C$52:$BJ$52)</f>
        <v>412778.6384</v>
      </c>
      <c r="E11" s="8" t="n">
        <f aca="false">SUMPRODUCT(('Monthly Conservative'!$C$5:$BJ$5=4)*'Monthly Conservative'!$C$52:$BJ$52)</f>
        <v>485286.24</v>
      </c>
      <c r="F11" s="8" t="n">
        <f aca="false">SUMPRODUCT(('Monthly Conservative'!$C$5:$BJ$5=5)*'Monthly Conservative'!$C$52:$BJ$52)</f>
        <v>585286.24</v>
      </c>
    </row>
    <row r="12" customFormat="false" ht="15" hidden="false" customHeight="false" outlineLevel="0" collapsed="false">
      <c r="A12" s="5" t="s">
        <v>15</v>
      </c>
      <c r="B12" s="8" t="n">
        <f aca="false">SUMPRODUCT(('Monthly Conservative'!$C$5:$BJ$5=1)*'Monthly Conservative'!$C$54:$BJ$54)</f>
        <v>-132595.796427257</v>
      </c>
      <c r="C12" s="8" t="n">
        <f aca="false">SUMPRODUCT(('Monthly Conservative'!$C$5:$BJ$5=2)*'Monthly Conservative'!$C$54:$BJ$54)</f>
        <v>-168739.131143511</v>
      </c>
      <c r="D12" s="8" t="n">
        <f aca="false">SUMPRODUCT(('Monthly Conservative'!$C$5:$BJ$5=3)*'Monthly Conservative'!$C$54:$BJ$54)</f>
        <v>-279278.930686693</v>
      </c>
      <c r="E12" s="8" t="n">
        <f aca="false">SUMPRODUCT(('Monthly Conservative'!$C$5:$BJ$5=4)*'Monthly Conservative'!$C$54:$BJ$54)</f>
        <v>-302113.833475083</v>
      </c>
      <c r="F12" s="8" t="n">
        <f aca="false">SUMPRODUCT(('Monthly Conservative'!$C$5:$BJ$5=5)*'Monthly Conservative'!$C$54:$BJ$54)</f>
        <v>-369322.262974738</v>
      </c>
    </row>
    <row r="13" customFormat="false" ht="15" hidden="false" customHeight="false" outlineLevel="0" collapsed="false">
      <c r="A13" s="5" t="s">
        <v>16</v>
      </c>
      <c r="B13" s="7" t="n">
        <f aca="false">'Monthly Conservative'!N55</f>
        <v>-82595.7964272569</v>
      </c>
      <c r="C13" s="7" t="n">
        <f aca="false">'Monthly Conservative'!Z55</f>
        <v>-251334.927570768</v>
      </c>
      <c r="D13" s="7" t="n">
        <f aca="false">'Monthly Conservative'!AL55</f>
        <v>-530613.858257462</v>
      </c>
      <c r="E13" s="7" t="n">
        <f aca="false">'Monthly Conservative'!AX55</f>
        <v>-832727.691732544</v>
      </c>
      <c r="F13" s="7" t="n">
        <f aca="false">'Monthly Conservative'!BJ55</f>
        <v>-1202049.95470728</v>
      </c>
    </row>
    <row r="14" customFormat="false" ht="15" hidden="false" customHeight="false" outlineLevel="0" collapsed="false">
      <c r="A14" s="5" t="s">
        <v>17</v>
      </c>
      <c r="B14" s="8" t="n">
        <f aca="false">MIN('Monthly Conservative'!$C$55:$BJ$55)</f>
        <v>-1202049.95470728</v>
      </c>
    </row>
    <row r="15" customFormat="false" ht="15" hidden="false" customHeight="false" outlineLevel="0" collapsed="false">
      <c r="A15" s="10" t="s">
        <v>18</v>
      </c>
      <c r="B15" s="11" t="n">
        <f aca="false">MAX(0,-B14)</f>
        <v>1202049.95470728</v>
      </c>
    </row>
    <row r="16" customFormat="false" ht="15" hidden="false" customHeight="false" outlineLevel="0" collapsed="false">
      <c r="A16" s="5" t="s">
        <v>19</v>
      </c>
      <c r="B16" s="12" t="str">
        <f aca="false">IFERROR(INDEX('Monthly Conservative'!$C$4:$BJ$4,MATCH(TRUE(),INDEX('Monthly Conservative'!$C$54:$BJ$54&gt;0,0),0)),"Not within 5 years")</f>
        <v>Not within 5 years</v>
      </c>
    </row>
    <row r="17" customFormat="false" ht="15" hidden="false" customHeight="false" outlineLevel="0" collapsed="false">
      <c r="A17" s="5" t="s">
        <v>20</v>
      </c>
      <c r="B17" s="13" t="n">
        <f aca="false">IF('Monthly Conservative'!BJ31=0,0,'Monthly Conservative'!BJ33/'Monthly Conservative'!BJ31*F10/Assumptions!$C$26/Assumptions!$C$27)</f>
        <v>1.88501234456334</v>
      </c>
    </row>
    <row r="18" customFormat="false" ht="15" hidden="false" customHeight="false" outlineLevel="0" collapsed="false">
      <c r="A18" s="5" t="s">
        <v>21</v>
      </c>
      <c r="B18" s="14" t="n">
        <f aca="false">F6/Assumptions!$D$11</f>
        <v>0.0122097429236663</v>
      </c>
    </row>
    <row r="21" customFormat="false" ht="15" hidden="false" customHeight="false" outlineLevel="0" collapsed="false">
      <c r="A21" s="3" t="s">
        <v>22</v>
      </c>
    </row>
    <row r="22" customFormat="false" ht="15" hidden="false" customHeight="false" outlineLevel="0" collapsed="false">
      <c r="A22" s="4" t="s">
        <v>3</v>
      </c>
      <c r="B22" s="4" t="s">
        <v>4</v>
      </c>
      <c r="C22" s="4" t="s">
        <v>5</v>
      </c>
      <c r="D22" s="4" t="s">
        <v>6</v>
      </c>
      <c r="E22" s="4" t="s">
        <v>7</v>
      </c>
      <c r="F22" s="4" t="s">
        <v>8</v>
      </c>
    </row>
    <row r="23" customFormat="false" ht="15" hidden="false" customHeight="false" outlineLevel="0" collapsed="false">
      <c r="A23" s="5" t="s">
        <v>9</v>
      </c>
      <c r="B23" s="6" t="n">
        <f aca="false">'Monthly Base'!N31</f>
        <v>150.531836914019</v>
      </c>
      <c r="C23" s="6" t="n">
        <f aca="false">'Monthly Base'!Z31</f>
        <v>433.053477825617</v>
      </c>
      <c r="D23" s="6" t="n">
        <f aca="false">'Monthly Base'!AL31</f>
        <v>672.408303007601</v>
      </c>
      <c r="E23" s="6" t="n">
        <f aca="false">'Monthly Base'!AX31</f>
        <v>851.950621177787</v>
      </c>
      <c r="F23" s="6" t="n">
        <f aca="false">'Monthly Base'!BJ31</f>
        <v>984.452554993267</v>
      </c>
    </row>
    <row r="24" customFormat="false" ht="15" hidden="false" customHeight="false" outlineLevel="0" collapsed="false">
      <c r="A24" s="5" t="s">
        <v>10</v>
      </c>
      <c r="B24" s="7" t="n">
        <f aca="false">'Monthly Base'!N34</f>
        <v>93603.7661072511</v>
      </c>
      <c r="C24" s="7" t="n">
        <f aca="false">'Monthly Base'!Z34</f>
        <v>282015.756511106</v>
      </c>
      <c r="D24" s="7" t="n">
        <f aca="false">'Monthly Base'!AL34</f>
        <v>458340.646883514</v>
      </c>
      <c r="E24" s="7" t="n">
        <f aca="false">'Monthly Base'!AX34</f>
        <v>602421.050584497</v>
      </c>
      <c r="F24" s="7" t="n">
        <f aca="false">'Monthly Base'!BJ34</f>
        <v>719562.646335257</v>
      </c>
    </row>
    <row r="25" customFormat="false" ht="15" hidden="false" customHeight="false" outlineLevel="0" collapsed="false">
      <c r="A25" s="5" t="s">
        <v>11</v>
      </c>
      <c r="B25" s="8" t="n">
        <f aca="false">SUMPRODUCT(('Monthly Base'!$C$5:$BJ$5=1)*'Monthly Base'!$C$35:$BJ$35)</f>
        <v>35659.0324514339</v>
      </c>
      <c r="C25" s="8" t="n">
        <f aca="false">SUMPRODUCT(('Monthly Base'!$C$5:$BJ$5=2)*'Monthly Base'!$C$35:$BJ$35)</f>
        <v>197708.897239229</v>
      </c>
      <c r="D25" s="8" t="n">
        <f aca="false">SUMPRODUCT(('Monthly Base'!$C$5:$BJ$5=3)*'Monthly Base'!$C$35:$BJ$35)</f>
        <v>384453.883213388</v>
      </c>
      <c r="E25" s="8" t="n">
        <f aca="false">SUMPRODUCT(('Monthly Base'!$C$5:$BJ$5=4)*'Monthly Base'!$C$35:$BJ$35)</f>
        <v>545958.078180191</v>
      </c>
      <c r="F25" s="8" t="n">
        <f aca="false">SUMPRODUCT(('Monthly Base'!$C$5:$BJ$5=5)*'Monthly Base'!$C$35:$BJ$35)</f>
        <v>676642.978693379</v>
      </c>
    </row>
    <row r="26" customFormat="false" ht="15" hidden="false" customHeight="false" outlineLevel="0" collapsed="false">
      <c r="A26" s="5" t="s">
        <v>12</v>
      </c>
      <c r="B26" s="8" t="n">
        <f aca="false">SUMPRODUCT(('Monthly Base'!$C$5:$BJ$5=1)*'Monthly Base'!$C$42:$BJ$42)</f>
        <v>23038.5533668197</v>
      </c>
      <c r="C26" s="8" t="n">
        <f aca="false">SUMPRODUCT(('Monthly Base'!$C$5:$BJ$5=2)*'Monthly Base'!$C$42:$BJ$42)</f>
        <v>143410.435835275</v>
      </c>
      <c r="D26" s="8" t="n">
        <f aca="false">SUMPRODUCT(('Monthly Base'!$C$5:$BJ$5=3)*'Monthly Base'!$C$42:$BJ$42)</f>
        <v>285693.626417495</v>
      </c>
      <c r="E26" s="8" t="n">
        <f aca="false">SUMPRODUCT(('Monthly Base'!$C$5:$BJ$5=4)*'Monthly Base'!$C$42:$BJ$42)</f>
        <v>411689.183065624</v>
      </c>
      <c r="F26" s="8" t="n">
        <f aca="false">SUMPRODUCT(('Monthly Base'!$C$5:$BJ$5=5)*'Monthly Base'!$C$42:$BJ$42)</f>
        <v>515788.098402756</v>
      </c>
    </row>
    <row r="27" customFormat="false" ht="15" hidden="false" customHeight="false" outlineLevel="0" collapsed="false">
      <c r="A27" s="5" t="s">
        <v>13</v>
      </c>
      <c r="B27" s="9" t="n">
        <f aca="false">IF(B25=0,0,B26/B25)</f>
        <v>0.646079037567753</v>
      </c>
      <c r="C27" s="9" t="n">
        <f aca="false">IF(C25=0,0,C26/C25)</f>
        <v>0.725361568638703</v>
      </c>
      <c r="D27" s="9" t="n">
        <f aca="false">IF(D25=0,0,D26/D25)</f>
        <v>0.74311546557828</v>
      </c>
      <c r="E27" s="9" t="n">
        <f aca="false">IF(E25=0,0,E26/E25)</f>
        <v>0.75406739000526</v>
      </c>
      <c r="F27" s="9" t="n">
        <f aca="false">IF(F25=0,0,F26/F25)</f>
        <v>0.762275106140554</v>
      </c>
    </row>
    <row r="28" customFormat="false" ht="15" hidden="false" customHeight="false" outlineLevel="0" collapsed="false">
      <c r="A28" s="5" t="s">
        <v>14</v>
      </c>
      <c r="B28" s="8" t="n">
        <f aca="false">SUMPRODUCT(('Monthly Base'!$C$5:$BJ$5=1)*'Monthly Base'!$C$52:$BJ$52)</f>
        <v>168419.69875</v>
      </c>
      <c r="C28" s="8" t="n">
        <f aca="false">SUMPRODUCT(('Monthly Base'!$C$5:$BJ$5=2)*'Monthly Base'!$C$52:$BJ$52)</f>
        <v>274809.551875</v>
      </c>
      <c r="D28" s="8" t="n">
        <f aca="false">SUMPRODUCT(('Monthly Base'!$C$5:$BJ$5=3)*'Monthly Base'!$C$52:$BJ$52)</f>
        <v>451221.434375</v>
      </c>
      <c r="E28" s="8" t="n">
        <f aca="false">SUMPRODUCT(('Monthly Base'!$C$5:$BJ$5=4)*'Monthly Base'!$C$52:$BJ$52)</f>
        <v>522886.8</v>
      </c>
      <c r="F28" s="8" t="n">
        <f aca="false">SUMPRODUCT(('Monthly Base'!$C$5:$BJ$5=5)*'Monthly Base'!$C$52:$BJ$52)</f>
        <v>622886.8</v>
      </c>
    </row>
    <row r="29" customFormat="false" ht="15" hidden="false" customHeight="false" outlineLevel="0" collapsed="false">
      <c r="A29" s="5" t="s">
        <v>15</v>
      </c>
      <c r="B29" s="8" t="n">
        <f aca="false">SUMPRODUCT(('Monthly Base'!$C$5:$BJ$5=1)*'Monthly Base'!$C$54:$BJ$54)</f>
        <v>-145381.14538318</v>
      </c>
      <c r="C29" s="8" t="n">
        <f aca="false">SUMPRODUCT(('Monthly Base'!$C$5:$BJ$5=2)*'Monthly Base'!$C$54:$BJ$54)</f>
        <v>-131399.116039725</v>
      </c>
      <c r="D29" s="8" t="n">
        <f aca="false">SUMPRODUCT(('Monthly Base'!$C$5:$BJ$5=3)*'Monthly Base'!$C$54:$BJ$54)</f>
        <v>-165527.807957505</v>
      </c>
      <c r="E29" s="8" t="n">
        <f aca="false">SUMPRODUCT(('Monthly Base'!$C$5:$BJ$5=4)*'Monthly Base'!$C$54:$BJ$54)</f>
        <v>-111197.616934376</v>
      </c>
      <c r="F29" s="8" t="n">
        <f aca="false">SUMPRODUCT(('Monthly Base'!$C$5:$BJ$5=5)*'Monthly Base'!$C$54:$BJ$54)</f>
        <v>-107098.701597244</v>
      </c>
    </row>
    <row r="30" customFormat="false" ht="15" hidden="false" customHeight="false" outlineLevel="0" collapsed="false">
      <c r="A30" s="5" t="s">
        <v>16</v>
      </c>
      <c r="B30" s="7" t="n">
        <f aca="false">'Monthly Base'!N55</f>
        <v>-95381.1453831803</v>
      </c>
      <c r="C30" s="7" t="n">
        <f aca="false">'Monthly Base'!Z55</f>
        <v>-226780.261422905</v>
      </c>
      <c r="D30" s="7" t="n">
        <f aca="false">'Monthly Base'!AL55</f>
        <v>-392308.06938041</v>
      </c>
      <c r="E30" s="7" t="n">
        <f aca="false">'Monthly Base'!AX55</f>
        <v>-503505.686314786</v>
      </c>
      <c r="F30" s="7" t="n">
        <f aca="false">'Monthly Base'!BJ55</f>
        <v>-610604.38791203</v>
      </c>
    </row>
    <row r="31" customFormat="false" ht="15" hidden="false" customHeight="false" outlineLevel="0" collapsed="false">
      <c r="A31" s="5" t="s">
        <v>17</v>
      </c>
      <c r="B31" s="8" t="n">
        <f aca="false">MIN('Monthly Base'!$C$55:$BJ$55)</f>
        <v>-610604.38791203</v>
      </c>
    </row>
    <row r="32" customFormat="false" ht="15" hidden="false" customHeight="false" outlineLevel="0" collapsed="false">
      <c r="A32" s="10" t="s">
        <v>18</v>
      </c>
      <c r="B32" s="11" t="n">
        <f aca="false">MAX(0,-B31)</f>
        <v>610604.38791203</v>
      </c>
    </row>
    <row r="33" customFormat="false" ht="15" hidden="false" customHeight="false" outlineLevel="0" collapsed="false">
      <c r="A33" s="5" t="s">
        <v>19</v>
      </c>
      <c r="B33" s="12" t="str">
        <f aca="false">IFERROR(INDEX('Monthly Base'!$C$4:$BJ$4,MATCH(TRUE(),INDEX('Monthly Base'!$C$54:$BJ$54&gt;0,0),0)),"Not within 5 years")</f>
        <v>Not within 5 years</v>
      </c>
    </row>
    <row r="34" customFormat="false" ht="15" hidden="false" customHeight="false" outlineLevel="0" collapsed="false">
      <c r="A34" s="5" t="s">
        <v>20</v>
      </c>
      <c r="B34" s="13" t="n">
        <f aca="false">IF('Monthly Base'!BJ31=0,0,'Monthly Base'!BJ33/'Monthly Base'!BJ31*F27/Assumptions!$D$26/Assumptions!$D$27)</f>
        <v>4.12716458749475</v>
      </c>
    </row>
    <row r="35" customFormat="false" ht="15" hidden="false" customHeight="false" outlineLevel="0" collapsed="false">
      <c r="A35" s="5" t="s">
        <v>21</v>
      </c>
      <c r="B35" s="14" t="n">
        <f aca="false">F23/Assumptions!$D$11</f>
        <v>0.0251503808503836</v>
      </c>
    </row>
    <row r="38" customFormat="false" ht="15" hidden="false" customHeight="false" outlineLevel="0" collapsed="false">
      <c r="A38" s="3" t="s">
        <v>23</v>
      </c>
    </row>
    <row r="39" customFormat="false" ht="15" hidden="false" customHeight="false" outlineLevel="0" collapsed="false">
      <c r="A39" s="4" t="s">
        <v>3</v>
      </c>
      <c r="B39" s="4" t="s">
        <v>4</v>
      </c>
      <c r="C39" s="4" t="s">
        <v>5</v>
      </c>
      <c r="D39" s="4" t="s">
        <v>6</v>
      </c>
      <c r="E39" s="4" t="s">
        <v>7</v>
      </c>
      <c r="F39" s="4" t="s">
        <v>8</v>
      </c>
    </row>
    <row r="40" customFormat="false" ht="15" hidden="false" customHeight="false" outlineLevel="0" collapsed="false">
      <c r="A40" s="5" t="s">
        <v>9</v>
      </c>
      <c r="B40" s="6" t="n">
        <f aca="false">'Monthly Aggressive'!N31</f>
        <v>306.717048890653</v>
      </c>
      <c r="C40" s="6" t="n">
        <f aca="false">'Monthly Aggressive'!Z31</f>
        <v>804.806759665512</v>
      </c>
      <c r="D40" s="6" t="n">
        <f aca="false">'Monthly Aggressive'!AL31</f>
        <v>1252.64650822182</v>
      </c>
      <c r="E40" s="6" t="n">
        <f aca="false">'Monthly Aggressive'!AX31</f>
        <v>1614.2122171293</v>
      </c>
      <c r="F40" s="6" t="n">
        <f aca="false">'Monthly Aggressive'!BJ31</f>
        <v>1904.96580894012</v>
      </c>
    </row>
    <row r="41" customFormat="false" ht="15" hidden="false" customHeight="false" outlineLevel="0" collapsed="false">
      <c r="A41" s="5" t="s">
        <v>10</v>
      </c>
      <c r="B41" s="7" t="n">
        <f aca="false">'Monthly Aggressive'!N34</f>
        <v>190998.137262376</v>
      </c>
      <c r="C41" s="7" t="n">
        <f aca="false">'Monthly Aggressive'!Z34</f>
        <v>535848.708250235</v>
      </c>
      <c r="D41" s="7" t="n">
        <f aca="false">'Monthly Aggressive'!AL34</f>
        <v>889979.806525173</v>
      </c>
      <c r="E41" s="7" t="n">
        <f aca="false">'Monthly Aggressive'!AX34</f>
        <v>1212301.55745415</v>
      </c>
      <c r="F41" s="7" t="n">
        <f aca="false">'Monthly Aggressive'!BJ34</f>
        <v>1507498.79209422</v>
      </c>
    </row>
    <row r="42" customFormat="false" ht="15" hidden="false" customHeight="false" outlineLevel="0" collapsed="false">
      <c r="A42" s="5" t="s">
        <v>11</v>
      </c>
      <c r="B42" s="8" t="n">
        <f aca="false">SUMPRODUCT(('Monthly Aggressive'!$C$5:$BJ$5=1)*'Monthly Aggressive'!$C$35:$BJ$35)</f>
        <v>75720.6239645684</v>
      </c>
      <c r="C42" s="8" t="n">
        <f aca="false">SUMPRODUCT(('Monthly Aggressive'!$C$5:$BJ$5=2)*'Monthly Aggressive'!$C$35:$BJ$35)</f>
        <v>383239.466979006</v>
      </c>
      <c r="D42" s="8" t="n">
        <f aca="false">SUMPRODUCT(('Monthly Aggressive'!$C$5:$BJ$5=3)*'Monthly Aggressive'!$C$35:$BJ$35)</f>
        <v>745149.729907716</v>
      </c>
      <c r="E42" s="8" t="n">
        <f aca="false">SUMPRODUCT(('Monthly Aggressive'!$C$5:$BJ$5=4)*'Monthly Aggressive'!$C$35:$BJ$35)</f>
        <v>1089973.45461349</v>
      </c>
      <c r="F42" s="8" t="n">
        <f aca="false">SUMPRODUCT(('Monthly Aggressive'!$C$5:$BJ$5=5)*'Monthly Aggressive'!$C$35:$BJ$35)</f>
        <v>1404209.95378822</v>
      </c>
    </row>
    <row r="43" customFormat="false" ht="15" hidden="false" customHeight="false" outlineLevel="0" collapsed="false">
      <c r="A43" s="5" t="s">
        <v>12</v>
      </c>
      <c r="B43" s="8" t="n">
        <f aca="false">SUMPRODUCT(('Monthly Aggressive'!$C$5:$BJ$5=1)*'Monthly Aggressive'!$C$42:$BJ$42)</f>
        <v>52302.1460288726</v>
      </c>
      <c r="C43" s="8" t="n">
        <f aca="false">SUMPRODUCT(('Monthly Aggressive'!$C$5:$BJ$5=2)*'Monthly Aggressive'!$C$42:$BJ$42)</f>
        <v>282700.017530197</v>
      </c>
      <c r="D43" s="8" t="n">
        <f aca="false">SUMPRODUCT(('Monthly Aggressive'!$C$5:$BJ$5=3)*'Monthly Aggressive'!$C$42:$BJ$42)</f>
        <v>563270.80073206</v>
      </c>
      <c r="E43" s="8" t="n">
        <f aca="false">SUMPRODUCT(('Monthly Aggressive'!$C$5:$BJ$5=4)*'Monthly Aggressive'!$C$42:$BJ$42)</f>
        <v>838407.494282485</v>
      </c>
      <c r="F43" s="8" t="n">
        <f aca="false">SUMPRODUCT(('Monthly Aggressive'!$C$5:$BJ$5=5)*'Monthly Aggressive'!$C$42:$BJ$42)</f>
        <v>1095527.72537818</v>
      </c>
    </row>
    <row r="44" customFormat="false" ht="15" hidden="false" customHeight="false" outlineLevel="0" collapsed="false">
      <c r="A44" s="5" t="s">
        <v>13</v>
      </c>
      <c r="B44" s="9" t="n">
        <f aca="false">IF(B42=0,0,B43/B42)</f>
        <v>0.690725238256701</v>
      </c>
      <c r="C44" s="9" t="n">
        <f aca="false">IF(C42=0,0,C43/C42)</f>
        <v>0.737658936222462</v>
      </c>
      <c r="D44" s="9" t="n">
        <f aca="false">IF(D42=0,0,D43/D42)</f>
        <v>0.755916265046247</v>
      </c>
      <c r="E44" s="9" t="n">
        <f aca="false">IF(E42=0,0,E43/E42)</f>
        <v>0.769199920175845</v>
      </c>
      <c r="F44" s="9" t="n">
        <f aca="false">IF(F42=0,0,F43/F42)</f>
        <v>0.780173735717167</v>
      </c>
    </row>
    <row r="45" customFormat="false" ht="15" hidden="false" customHeight="false" outlineLevel="0" collapsed="false">
      <c r="A45" s="5" t="s">
        <v>14</v>
      </c>
      <c r="B45" s="8" t="n">
        <f aca="false">SUMPRODUCT(('Monthly Aggressive'!$C$5:$BJ$5=1)*'Monthly Aggressive'!$C$52:$BJ$52)</f>
        <v>209257.648</v>
      </c>
      <c r="C45" s="8" t="n">
        <f aca="false">SUMPRODUCT(('Monthly Aggressive'!$C$5:$BJ$5=2)*'Monthly Aggressive'!$C$52:$BJ$52)</f>
        <v>324611.8775</v>
      </c>
      <c r="D45" s="8" t="n">
        <f aca="false">SUMPRODUCT(('Monthly Aggressive'!$C$5:$BJ$5=3)*'Monthly Aggressive'!$C$52:$BJ$52)</f>
        <v>503259.4995</v>
      </c>
      <c r="E45" s="8" t="n">
        <f aca="false">SUMPRODUCT(('Monthly Aggressive'!$C$5:$BJ$5=4)*'Monthly Aggressive'!$C$52:$BJ$52)</f>
        <v>573868.986</v>
      </c>
      <c r="F45" s="8" t="n">
        <f aca="false">SUMPRODUCT(('Monthly Aggressive'!$C$5:$BJ$5=5)*'Monthly Aggressive'!$C$52:$BJ$52)</f>
        <v>673868.986</v>
      </c>
    </row>
    <row r="46" customFormat="false" ht="15" hidden="false" customHeight="false" outlineLevel="0" collapsed="false">
      <c r="A46" s="5" t="s">
        <v>15</v>
      </c>
      <c r="B46" s="8" t="n">
        <f aca="false">SUMPRODUCT(('Monthly Aggressive'!$C$5:$BJ$5=1)*'Monthly Aggressive'!$C$54:$BJ$54)</f>
        <v>-156955.501971127</v>
      </c>
      <c r="C46" s="8" t="n">
        <f aca="false">SUMPRODUCT(('Monthly Aggressive'!$C$5:$BJ$5=2)*'Monthly Aggressive'!$C$54:$BJ$54)</f>
        <v>-41911.8599698029</v>
      </c>
      <c r="D46" s="8" t="n">
        <f aca="false">SUMPRODUCT(('Monthly Aggressive'!$C$5:$BJ$5=3)*'Monthly Aggressive'!$C$54:$BJ$54)</f>
        <v>60011.3012320602</v>
      </c>
      <c r="E46" s="8" t="n">
        <f aca="false">SUMPRODUCT(('Monthly Aggressive'!$C$5:$BJ$5=4)*'Monthly Aggressive'!$C$54:$BJ$54)</f>
        <v>264538.508282485</v>
      </c>
      <c r="F46" s="8" t="n">
        <f aca="false">SUMPRODUCT(('Monthly Aggressive'!$C$5:$BJ$5=5)*'Monthly Aggressive'!$C$54:$BJ$54)</f>
        <v>421658.739378183</v>
      </c>
    </row>
    <row r="47" customFormat="false" ht="15" hidden="false" customHeight="false" outlineLevel="0" collapsed="false">
      <c r="A47" s="5" t="s">
        <v>16</v>
      </c>
      <c r="B47" s="7" t="n">
        <f aca="false">'Monthly Aggressive'!N55</f>
        <v>-106955.501971127</v>
      </c>
      <c r="C47" s="7" t="n">
        <f aca="false">'Monthly Aggressive'!Z55</f>
        <v>-148867.36194093</v>
      </c>
      <c r="D47" s="7" t="n">
        <f aca="false">'Monthly Aggressive'!AL55</f>
        <v>-88856.0607088702</v>
      </c>
      <c r="E47" s="7" t="n">
        <f aca="false">'Monthly Aggressive'!AX55</f>
        <v>175682.447573615</v>
      </c>
      <c r="F47" s="7" t="n">
        <f aca="false">'Monthly Aggressive'!BJ55</f>
        <v>597341.186951798</v>
      </c>
    </row>
    <row r="48" customFormat="false" ht="15" hidden="false" customHeight="false" outlineLevel="0" collapsed="false">
      <c r="A48" s="5" t="s">
        <v>17</v>
      </c>
      <c r="B48" s="8" t="n">
        <f aca="false">MIN('Monthly Aggressive'!$C$55:$BJ$55)</f>
        <v>-181108.953926663</v>
      </c>
    </row>
    <row r="49" customFormat="false" ht="15" hidden="false" customHeight="false" outlineLevel="0" collapsed="false">
      <c r="A49" s="10" t="s">
        <v>18</v>
      </c>
      <c r="B49" s="11" t="n">
        <f aca="false">MAX(0,-B48)</f>
        <v>181108.953926663</v>
      </c>
    </row>
    <row r="50" customFormat="false" ht="15" hidden="false" customHeight="false" outlineLevel="0" collapsed="false">
      <c r="A50" s="5" t="s">
        <v>19</v>
      </c>
      <c r="B50" s="12" t="n">
        <f aca="false">IFERROR(INDEX('Monthly Aggressive'!$C$4:$BJ$4,MATCH(TRUE(),INDEX('Monthly Aggressive'!$C$54:$BJ$54&gt;0,0),0)),"Not within 5 years")</f>
        <v>21</v>
      </c>
    </row>
    <row r="51" customFormat="false" ht="15" hidden="false" customHeight="false" outlineLevel="0" collapsed="false">
      <c r="A51" s="5" t="s">
        <v>20</v>
      </c>
      <c r="B51" s="13" t="n">
        <f aca="false">IF('Monthly Aggressive'!BJ31=0,0,'Monthly Aggressive'!BJ33/'Monthly Aggressive'!BJ31*F44/Assumptions!$E$26/Assumptions!$E$27)</f>
        <v>8.16656302343968</v>
      </c>
    </row>
    <row r="52" customFormat="false" ht="15" hidden="false" customHeight="false" outlineLevel="0" collapsed="false">
      <c r="A52" s="5" t="s">
        <v>21</v>
      </c>
      <c r="B52" s="14" t="n">
        <f aca="false">F40/Assumptions!$D$11</f>
        <v>0.0486672672632057</v>
      </c>
    </row>
    <row r="55" customFormat="false" ht="15" hidden="false" customHeight="false" outlineLevel="0" collapsed="false">
      <c r="A55" s="10" t="s">
        <v>24</v>
      </c>
    </row>
    <row r="56" customFormat="false" ht="15" hidden="false" customHeight="false" outlineLevel="0" collapsed="false">
      <c r="A56" s="15" t="s">
        <v>25</v>
      </c>
      <c r="B56" s="15" t="s">
        <v>4</v>
      </c>
      <c r="C56" s="15" t="s">
        <v>5</v>
      </c>
      <c r="D56" s="15" t="s">
        <v>6</v>
      </c>
      <c r="E56" s="15" t="s">
        <v>7</v>
      </c>
      <c r="F56" s="15" t="s">
        <v>8</v>
      </c>
    </row>
    <row r="57" customFormat="false" ht="15" hidden="false" customHeight="false" outlineLevel="0" collapsed="false">
      <c r="A57" s="5" t="s">
        <v>26</v>
      </c>
      <c r="B57" s="8" t="n">
        <f aca="false">B7</f>
        <v>43372.2372639511</v>
      </c>
      <c r="C57" s="8" t="n">
        <f aca="false">C7</f>
        <v>139927.155724957</v>
      </c>
      <c r="D57" s="8" t="n">
        <f aca="false">D7</f>
        <v>219952.538787865</v>
      </c>
      <c r="E57" s="8" t="n">
        <f aca="false">E7</f>
        <v>274790.413885119</v>
      </c>
      <c r="F57" s="8" t="n">
        <f aca="false">F7</f>
        <v>310551.308776207</v>
      </c>
    </row>
    <row r="58" customFormat="false" ht="15" hidden="false" customHeight="false" outlineLevel="0" collapsed="false">
      <c r="A58" s="5" t="s">
        <v>27</v>
      </c>
      <c r="B58" s="8" t="n">
        <f aca="false">B24</f>
        <v>93603.7661072511</v>
      </c>
      <c r="C58" s="8" t="n">
        <f aca="false">C24</f>
        <v>282015.756511106</v>
      </c>
      <c r="D58" s="8" t="n">
        <f aca="false">D24</f>
        <v>458340.646883514</v>
      </c>
      <c r="E58" s="8" t="n">
        <f aca="false">E24</f>
        <v>602421.050584497</v>
      </c>
      <c r="F58" s="8" t="n">
        <f aca="false">F24</f>
        <v>719562.646335257</v>
      </c>
    </row>
    <row r="59" customFormat="false" ht="15" hidden="false" customHeight="false" outlineLevel="0" collapsed="false">
      <c r="A59" s="5" t="s">
        <v>28</v>
      </c>
      <c r="B59" s="8" t="n">
        <f aca="false">B41</f>
        <v>190998.137262376</v>
      </c>
      <c r="C59" s="8" t="n">
        <f aca="false">C41</f>
        <v>535848.708250235</v>
      </c>
      <c r="D59" s="8" t="n">
        <f aca="false">D41</f>
        <v>889979.806525173</v>
      </c>
      <c r="E59" s="8" t="n">
        <f aca="false">E41</f>
        <v>1212301.55745415</v>
      </c>
      <c r="F59" s="8" t="n">
        <f aca="false">F41</f>
        <v>1507498.79209422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9" min="2" style="0" width="15"/>
    <col collapsed="false" customWidth="true" hidden="false" outlineLevel="0" max="10" min="10" style="0" width="90"/>
  </cols>
  <sheetData>
    <row r="1" customFormat="false" ht="17.35" hidden="false" customHeight="false" outlineLevel="0" collapsed="false">
      <c r="A1" s="1" t="s">
        <v>29</v>
      </c>
    </row>
    <row r="2" customFormat="false" ht="15" hidden="false" customHeight="false" outlineLevel="0" collapsed="false">
      <c r="A2" s="2" t="s">
        <v>30</v>
      </c>
    </row>
    <row r="4" customFormat="false" ht="15" hidden="false" customHeight="false" outlineLevel="0" collapsed="false">
      <c r="A4" s="10" t="s">
        <v>31</v>
      </c>
    </row>
    <row r="5" customFormat="false" ht="42" hidden="false" customHeight="true" outlineLevel="0" collapsed="false">
      <c r="A5" s="15" t="s">
        <v>32</v>
      </c>
      <c r="B5" s="15" t="s">
        <v>33</v>
      </c>
      <c r="C5" s="15" t="s">
        <v>34</v>
      </c>
      <c r="D5" s="15" t="s">
        <v>35</v>
      </c>
      <c r="E5" s="15" t="s">
        <v>36</v>
      </c>
      <c r="F5" s="15" t="s">
        <v>37</v>
      </c>
      <c r="G5" s="15" t="s">
        <v>38</v>
      </c>
      <c r="H5" s="15" t="s">
        <v>39</v>
      </c>
      <c r="I5" s="15" t="s">
        <v>40</v>
      </c>
      <c r="J5" s="15" t="s">
        <v>41</v>
      </c>
    </row>
    <row r="6" customFormat="false" ht="15" hidden="false" customHeight="false" outlineLevel="0" collapsed="false">
      <c r="A6" s="5" t="s">
        <v>42</v>
      </c>
      <c r="B6" s="16" t="n">
        <v>66061</v>
      </c>
      <c r="C6" s="17" t="n">
        <v>0.35</v>
      </c>
      <c r="D6" s="12" t="n">
        <f aca="false">B6*C6</f>
        <v>23121.35</v>
      </c>
      <c r="E6" s="16" t="n">
        <v>1</v>
      </c>
      <c r="F6" s="18" t="n">
        <v>0.0006</v>
      </c>
      <c r="G6" s="18" t="n">
        <v>0.001</v>
      </c>
      <c r="H6" s="18" t="n">
        <v>0.0016</v>
      </c>
      <c r="I6" s="19" t="n">
        <v>1</v>
      </c>
      <c r="J6" s="20" t="s">
        <v>43</v>
      </c>
    </row>
    <row r="7" customFormat="false" ht="15" hidden="false" customHeight="false" outlineLevel="0" collapsed="false">
      <c r="A7" s="5" t="s">
        <v>44</v>
      </c>
      <c r="B7" s="16" t="n">
        <v>39000</v>
      </c>
      <c r="C7" s="17" t="n">
        <v>0.2</v>
      </c>
      <c r="D7" s="12" t="n">
        <f aca="false">B7*C7</f>
        <v>7800</v>
      </c>
      <c r="E7" s="16" t="n">
        <v>7</v>
      </c>
      <c r="F7" s="18" t="n">
        <v>0.0004</v>
      </c>
      <c r="G7" s="18" t="n">
        <v>0.0007</v>
      </c>
      <c r="H7" s="18" t="n">
        <v>0.0012</v>
      </c>
      <c r="I7" s="19" t="n">
        <v>1.1</v>
      </c>
      <c r="J7" s="20" t="s">
        <v>45</v>
      </c>
    </row>
    <row r="8" customFormat="false" ht="15" hidden="false" customHeight="false" outlineLevel="0" collapsed="false">
      <c r="A8" s="5" t="s">
        <v>46</v>
      </c>
      <c r="B8" s="16" t="n">
        <v>6000</v>
      </c>
      <c r="C8" s="17" t="n">
        <v>0.5</v>
      </c>
      <c r="D8" s="12" t="n">
        <f aca="false">B8*C8</f>
        <v>3000</v>
      </c>
      <c r="E8" s="16" t="n">
        <v>7</v>
      </c>
      <c r="F8" s="18" t="n">
        <v>0.0005</v>
      </c>
      <c r="G8" s="18" t="n">
        <v>0.0008</v>
      </c>
      <c r="H8" s="18" t="n">
        <v>0.0014</v>
      </c>
      <c r="I8" s="19" t="n">
        <v>1.15</v>
      </c>
      <c r="J8" s="20" t="s">
        <v>47</v>
      </c>
    </row>
    <row r="9" customFormat="false" ht="15" hidden="false" customHeight="false" outlineLevel="0" collapsed="false">
      <c r="A9" s="5" t="s">
        <v>48</v>
      </c>
      <c r="B9" s="16" t="n">
        <v>23142</v>
      </c>
      <c r="C9" s="17" t="n">
        <v>0.15</v>
      </c>
      <c r="D9" s="12" t="n">
        <f aca="false">B9*C9</f>
        <v>3471.3</v>
      </c>
      <c r="E9" s="16" t="n">
        <v>19</v>
      </c>
      <c r="F9" s="18" t="n">
        <v>0.0003</v>
      </c>
      <c r="G9" s="18" t="n">
        <v>0.0005</v>
      </c>
      <c r="H9" s="18" t="n">
        <v>0.0009</v>
      </c>
      <c r="I9" s="19" t="n">
        <v>1.4</v>
      </c>
      <c r="J9" s="20" t="s">
        <v>49</v>
      </c>
    </row>
    <row r="10" customFormat="false" ht="15" hidden="false" customHeight="false" outlineLevel="0" collapsed="false">
      <c r="A10" s="5" t="s">
        <v>50</v>
      </c>
      <c r="B10" s="16" t="n">
        <v>5000</v>
      </c>
      <c r="C10" s="17" t="n">
        <v>0.35</v>
      </c>
      <c r="D10" s="12" t="n">
        <f aca="false">B10*C10</f>
        <v>1750</v>
      </c>
      <c r="E10" s="16" t="n">
        <v>19</v>
      </c>
      <c r="F10" s="18" t="n">
        <v>0.0004</v>
      </c>
      <c r="G10" s="18" t="n">
        <v>0.0007</v>
      </c>
      <c r="H10" s="18" t="n">
        <v>0.0012</v>
      </c>
      <c r="I10" s="19" t="n">
        <v>1.4</v>
      </c>
      <c r="J10" s="20" t="s">
        <v>51</v>
      </c>
    </row>
    <row r="11" customFormat="false" ht="15" hidden="false" customHeight="false" outlineLevel="0" collapsed="false">
      <c r="A11" s="10" t="s">
        <v>52</v>
      </c>
      <c r="B11" s="21" t="n">
        <f aca="false">SUM(B6:B10)</f>
        <v>139203</v>
      </c>
      <c r="D11" s="21" t="n">
        <f aca="false">SUM(D6:D10)</f>
        <v>39142.65</v>
      </c>
      <c r="J11" s="20" t="s">
        <v>53</v>
      </c>
    </row>
    <row r="13" customFormat="false" ht="15" hidden="false" customHeight="false" outlineLevel="0" collapsed="false">
      <c r="A13" s="10" t="s">
        <v>54</v>
      </c>
    </row>
    <row r="14" customFormat="false" ht="15" hidden="false" customHeight="false" outlineLevel="0" collapsed="false">
      <c r="A14" s="15" t="s">
        <v>55</v>
      </c>
      <c r="B14" s="15" t="s">
        <v>56</v>
      </c>
      <c r="C14" s="15" t="s">
        <v>57</v>
      </c>
      <c r="D14" s="15"/>
      <c r="E14" s="15"/>
      <c r="F14" s="15"/>
      <c r="G14" s="15"/>
      <c r="H14" s="15"/>
      <c r="I14" s="15"/>
      <c r="J14" s="15" t="s">
        <v>58</v>
      </c>
    </row>
    <row r="15" customFormat="false" ht="15" hidden="false" customHeight="false" outlineLevel="0" collapsed="false">
      <c r="A15" s="5" t="s">
        <v>59</v>
      </c>
      <c r="B15" s="22" t="n">
        <v>39</v>
      </c>
      <c r="C15" s="17" t="n">
        <v>0.4</v>
      </c>
      <c r="J15" s="20" t="s">
        <v>60</v>
      </c>
    </row>
    <row r="16" customFormat="false" ht="15" hidden="false" customHeight="false" outlineLevel="0" collapsed="false">
      <c r="A16" s="5" t="s">
        <v>61</v>
      </c>
      <c r="B16" s="22" t="n">
        <v>59</v>
      </c>
      <c r="C16" s="17" t="n">
        <v>0.45</v>
      </c>
    </row>
    <row r="17" customFormat="false" ht="15" hidden="false" customHeight="false" outlineLevel="0" collapsed="false">
      <c r="A17" s="5" t="s">
        <v>62</v>
      </c>
      <c r="B17" s="22" t="n">
        <v>79</v>
      </c>
      <c r="C17" s="17" t="n">
        <v>0.15</v>
      </c>
    </row>
    <row r="18" customFormat="false" ht="15" hidden="false" customHeight="false" outlineLevel="0" collapsed="false">
      <c r="A18" s="5" t="s">
        <v>63</v>
      </c>
      <c r="C18" s="9" t="n">
        <f aca="false">SUM(C15:C17)</f>
        <v>1</v>
      </c>
    </row>
    <row r="19" customFormat="false" ht="15" hidden="false" customHeight="false" outlineLevel="0" collapsed="false">
      <c r="A19" s="5" t="s">
        <v>64</v>
      </c>
      <c r="B19" s="17" t="n">
        <v>0.3</v>
      </c>
      <c r="J19" s="20" t="s">
        <v>65</v>
      </c>
    </row>
    <row r="20" customFormat="false" ht="15" hidden="false" customHeight="false" outlineLevel="0" collapsed="false">
      <c r="A20" s="5" t="s">
        <v>66</v>
      </c>
      <c r="B20" s="16" t="n">
        <v>10</v>
      </c>
    </row>
    <row r="21" customFormat="false" ht="15" hidden="false" customHeight="false" outlineLevel="0" collapsed="false">
      <c r="A21" s="5" t="s">
        <v>67</v>
      </c>
      <c r="B21" s="23" t="n">
        <v>1</v>
      </c>
      <c r="J21" s="20" t="s">
        <v>68</v>
      </c>
    </row>
    <row r="22" customFormat="false" ht="15" hidden="false" customHeight="false" outlineLevel="0" collapsed="false">
      <c r="A22" s="10" t="s">
        <v>69</v>
      </c>
      <c r="B22" s="24" t="n">
        <f aca="false">SUMPRODUCT(B15:B17,C15:C17)*((1-B19)+B19*B20/12)*B21</f>
        <v>51.3</v>
      </c>
    </row>
    <row r="24" customFormat="false" ht="15" hidden="false" customHeight="false" outlineLevel="0" collapsed="false">
      <c r="A24" s="10" t="s">
        <v>70</v>
      </c>
    </row>
    <row r="25" customFormat="false" ht="15" hidden="false" customHeight="false" outlineLevel="0" collapsed="false">
      <c r="A25" s="15" t="s">
        <v>71</v>
      </c>
      <c r="B25" s="15"/>
      <c r="C25" s="15" t="s">
        <v>26</v>
      </c>
      <c r="D25" s="15" t="s">
        <v>27</v>
      </c>
      <c r="E25" s="15" t="s">
        <v>28</v>
      </c>
      <c r="F25" s="15"/>
      <c r="G25" s="15"/>
      <c r="H25" s="15"/>
      <c r="I25" s="15"/>
      <c r="J25" s="15" t="s">
        <v>58</v>
      </c>
    </row>
    <row r="26" customFormat="false" ht="15" hidden="false" customHeight="false" outlineLevel="0" collapsed="false">
      <c r="A26" s="5" t="s">
        <v>72</v>
      </c>
      <c r="C26" s="17" t="n">
        <v>0.035</v>
      </c>
      <c r="D26" s="17" t="n">
        <v>0.025</v>
      </c>
      <c r="E26" s="17" t="n">
        <v>0.018</v>
      </c>
      <c r="J26" s="20" t="s">
        <v>73</v>
      </c>
    </row>
    <row r="27" customFormat="false" ht="15" hidden="false" customHeight="false" outlineLevel="0" collapsed="false">
      <c r="A27" s="5" t="s">
        <v>74</v>
      </c>
      <c r="C27" s="25" t="n">
        <v>600</v>
      </c>
      <c r="D27" s="25" t="n">
        <v>450</v>
      </c>
      <c r="E27" s="25" t="n">
        <v>350</v>
      </c>
      <c r="J27" s="20" t="s">
        <v>75</v>
      </c>
    </row>
    <row r="28" customFormat="false" ht="15" hidden="false" customHeight="false" outlineLevel="0" collapsed="false">
      <c r="A28" s="5" t="s">
        <v>76</v>
      </c>
      <c r="C28" s="17" t="n">
        <v>0</v>
      </c>
      <c r="D28" s="17" t="n">
        <v>0.03</v>
      </c>
      <c r="E28" s="17" t="n">
        <v>0.05</v>
      </c>
      <c r="J28" s="20" t="s">
        <v>77</v>
      </c>
    </row>
    <row r="29" customFormat="false" ht="15" hidden="false" customHeight="false" outlineLevel="0" collapsed="false">
      <c r="A29" s="5" t="s">
        <v>78</v>
      </c>
      <c r="C29" s="26" t="n">
        <v>15</v>
      </c>
      <c r="D29" s="26" t="n">
        <v>12</v>
      </c>
      <c r="E29" s="26" t="n">
        <v>9</v>
      </c>
      <c r="J29" s="20" t="s">
        <v>79</v>
      </c>
    </row>
    <row r="31" customFormat="false" ht="15" hidden="false" customHeight="false" outlineLevel="0" collapsed="false">
      <c r="A31" s="10" t="s">
        <v>80</v>
      </c>
    </row>
    <row r="32" customFormat="false" ht="15" hidden="false" customHeight="false" outlineLevel="0" collapsed="false">
      <c r="A32" s="15" t="s">
        <v>81</v>
      </c>
      <c r="B32" s="15" t="s">
        <v>82</v>
      </c>
      <c r="C32" s="15"/>
      <c r="D32" s="15"/>
      <c r="E32" s="15"/>
      <c r="F32" s="15"/>
      <c r="G32" s="15"/>
      <c r="H32" s="15"/>
      <c r="I32" s="15"/>
      <c r="J32" s="15" t="s">
        <v>58</v>
      </c>
    </row>
    <row r="33" customFormat="false" ht="15" hidden="false" customHeight="false" outlineLevel="0" collapsed="false">
      <c r="A33" s="5" t="s">
        <v>83</v>
      </c>
      <c r="B33" s="27" t="n">
        <v>0.029</v>
      </c>
      <c r="J33" s="20" t="s">
        <v>84</v>
      </c>
    </row>
    <row r="34" customFormat="false" ht="15" hidden="false" customHeight="false" outlineLevel="0" collapsed="false">
      <c r="A34" s="5" t="s">
        <v>85</v>
      </c>
      <c r="B34" s="28" t="n">
        <v>0.3</v>
      </c>
      <c r="J34" s="20" t="s">
        <v>84</v>
      </c>
    </row>
    <row r="35" customFormat="false" ht="15" hidden="false" customHeight="false" outlineLevel="0" collapsed="false">
      <c r="A35" s="5" t="s">
        <v>86</v>
      </c>
      <c r="B35" s="22" t="n">
        <v>250</v>
      </c>
      <c r="J35" s="20" t="s">
        <v>87</v>
      </c>
    </row>
    <row r="36" customFormat="false" ht="15" hidden="false" customHeight="false" outlineLevel="0" collapsed="false">
      <c r="A36" s="5" t="s">
        <v>88</v>
      </c>
      <c r="B36" s="28" t="n">
        <v>0.75</v>
      </c>
      <c r="J36" s="20" t="s">
        <v>89</v>
      </c>
    </row>
    <row r="37" customFormat="false" ht="15" hidden="false" customHeight="false" outlineLevel="0" collapsed="false">
      <c r="A37" s="5" t="s">
        <v>90</v>
      </c>
      <c r="B37" s="26" t="n">
        <v>400</v>
      </c>
      <c r="J37" s="20" t="s">
        <v>91</v>
      </c>
    </row>
    <row r="38" customFormat="false" ht="15" hidden="false" customHeight="false" outlineLevel="0" collapsed="false">
      <c r="A38" s="5" t="s">
        <v>92</v>
      </c>
      <c r="B38" s="22" t="n">
        <v>55000</v>
      </c>
      <c r="J38" s="20" t="s">
        <v>91</v>
      </c>
    </row>
    <row r="39" customFormat="false" ht="15" hidden="false" customHeight="false" outlineLevel="0" collapsed="false">
      <c r="A39" s="5" t="s">
        <v>93</v>
      </c>
      <c r="B39" s="22" t="n">
        <v>140000</v>
      </c>
      <c r="J39" s="20" t="s">
        <v>94</v>
      </c>
    </row>
    <row r="40" customFormat="false" ht="15" hidden="false" customHeight="false" outlineLevel="0" collapsed="false">
      <c r="A40" s="5" t="s">
        <v>95</v>
      </c>
      <c r="B40" s="22" t="n">
        <v>1500</v>
      </c>
      <c r="J40" s="20" t="s">
        <v>96</v>
      </c>
    </row>
    <row r="41" customFormat="false" ht="15" hidden="false" customHeight="false" outlineLevel="0" collapsed="false">
      <c r="A41" s="5" t="s">
        <v>97</v>
      </c>
      <c r="B41" s="22" t="n">
        <v>20000</v>
      </c>
      <c r="J41" s="20" t="s">
        <v>98</v>
      </c>
    </row>
    <row r="42" customFormat="false" ht="15" hidden="false" customHeight="false" outlineLevel="0" collapsed="false">
      <c r="A42" s="5" t="s">
        <v>99</v>
      </c>
      <c r="B42" s="22" t="n">
        <v>30000</v>
      </c>
      <c r="J42" s="20" t="s">
        <v>100</v>
      </c>
    </row>
    <row r="43" customFormat="false" ht="15" hidden="false" customHeight="false" outlineLevel="0" collapsed="false">
      <c r="A43" s="5" t="s">
        <v>101</v>
      </c>
      <c r="B43" s="16" t="n">
        <v>25</v>
      </c>
      <c r="J43" s="20"/>
    </row>
    <row r="44" customFormat="false" ht="15" hidden="false" customHeight="false" outlineLevel="0" collapsed="false">
      <c r="A44" s="5" t="s">
        <v>102</v>
      </c>
      <c r="B44" s="22" t="n">
        <v>750</v>
      </c>
      <c r="J44" s="20" t="s">
        <v>103</v>
      </c>
    </row>
    <row r="45" customFormat="false" ht="15" hidden="false" customHeight="false" outlineLevel="0" collapsed="false">
      <c r="A45" s="5" t="s">
        <v>104</v>
      </c>
      <c r="B45" s="22" t="n">
        <v>450</v>
      </c>
      <c r="J45" s="20" t="s">
        <v>91</v>
      </c>
    </row>
    <row r="46" customFormat="false" ht="15" hidden="false" customHeight="false" outlineLevel="0" collapsed="false">
      <c r="A46" s="5" t="s">
        <v>105</v>
      </c>
      <c r="B46" s="22" t="n">
        <v>600</v>
      </c>
      <c r="J46" s="20" t="s">
        <v>91</v>
      </c>
    </row>
    <row r="47" customFormat="false" ht="15" hidden="false" customHeight="false" outlineLevel="0" collapsed="false">
      <c r="A47" s="5" t="s">
        <v>106</v>
      </c>
      <c r="B47" s="25" t="n">
        <v>50000</v>
      </c>
      <c r="J47" s="20" t="s">
        <v>107</v>
      </c>
    </row>
    <row r="49" customFormat="false" ht="15" hidden="false" customHeight="false" outlineLevel="0" collapsed="false">
      <c r="A49" s="15" t="s">
        <v>108</v>
      </c>
      <c r="B49" s="15" t="s">
        <v>4</v>
      </c>
      <c r="C49" s="15" t="s">
        <v>5</v>
      </c>
      <c r="D49" s="15" t="s">
        <v>6</v>
      </c>
      <c r="E49" s="15" t="s">
        <v>7</v>
      </c>
      <c r="F49" s="15" t="s">
        <v>8</v>
      </c>
      <c r="G49" s="15"/>
      <c r="H49" s="15"/>
      <c r="I49" s="15"/>
      <c r="J49" s="15" t="s">
        <v>58</v>
      </c>
    </row>
    <row r="50" customFormat="false" ht="15" hidden="false" customHeight="false" outlineLevel="0" collapsed="false">
      <c r="A50" s="5" t="s">
        <v>109</v>
      </c>
      <c r="B50" s="29" t="n">
        <v>0.25</v>
      </c>
      <c r="C50" s="29" t="n">
        <v>0.5</v>
      </c>
      <c r="D50" s="29" t="n">
        <v>1</v>
      </c>
      <c r="E50" s="29" t="n">
        <v>1.5</v>
      </c>
      <c r="F50" s="29" t="n">
        <v>2</v>
      </c>
      <c r="J50" s="20" t="s">
        <v>110</v>
      </c>
    </row>
    <row r="51" customFormat="false" ht="15" hidden="false" customHeight="false" outlineLevel="0" collapsed="false">
      <c r="A51" s="5" t="s">
        <v>111</v>
      </c>
      <c r="B51" s="22" t="n">
        <v>0</v>
      </c>
      <c r="C51" s="22" t="n">
        <v>0</v>
      </c>
      <c r="D51" s="22" t="n">
        <v>60000</v>
      </c>
      <c r="E51" s="22" t="n">
        <v>90000</v>
      </c>
      <c r="F51" s="22" t="n">
        <v>120000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
    <col collapsed="false" customWidth="true" hidden="false" outlineLevel="0" max="62" min="3" style="0" width="11"/>
  </cols>
  <sheetData>
    <row r="1" customFormat="false" ht="17.35" hidden="false" customHeight="false" outlineLevel="0" collapsed="false">
      <c r="A1" s="1" t="s">
        <v>112</v>
      </c>
    </row>
    <row r="2" customFormat="false" ht="15" hidden="false" customHeight="false" outlineLevel="0" collapsed="false">
      <c r="A2" s="2" t="s">
        <v>113</v>
      </c>
    </row>
    <row r="4" customFormat="false" ht="15" hidden="false" customHeight="false" outlineLevel="0" collapsed="false">
      <c r="A4" s="10" t="s">
        <v>114</v>
      </c>
      <c r="C4" s="21" t="n">
        <v>1</v>
      </c>
      <c r="D4" s="21" t="n">
        <v>2</v>
      </c>
      <c r="E4" s="21" t="n">
        <v>3</v>
      </c>
      <c r="F4" s="21" t="n">
        <v>4</v>
      </c>
      <c r="G4" s="21" t="n">
        <v>5</v>
      </c>
      <c r="H4" s="21" t="n">
        <v>6</v>
      </c>
      <c r="I4" s="21" t="n">
        <v>7</v>
      </c>
      <c r="J4" s="21" t="n">
        <v>8</v>
      </c>
      <c r="K4" s="21" t="n">
        <v>9</v>
      </c>
      <c r="L4" s="21" t="n">
        <v>10</v>
      </c>
      <c r="M4" s="21" t="n">
        <v>11</v>
      </c>
      <c r="N4" s="21" t="n">
        <v>12</v>
      </c>
      <c r="O4" s="21" t="n">
        <v>13</v>
      </c>
      <c r="P4" s="21" t="n">
        <v>14</v>
      </c>
      <c r="Q4" s="21" t="n">
        <v>15</v>
      </c>
      <c r="R4" s="21" t="n">
        <v>16</v>
      </c>
      <c r="S4" s="21" t="n">
        <v>17</v>
      </c>
      <c r="T4" s="21" t="n">
        <v>18</v>
      </c>
      <c r="U4" s="21" t="n">
        <v>19</v>
      </c>
      <c r="V4" s="21" t="n">
        <v>20</v>
      </c>
      <c r="W4" s="21" t="n">
        <v>21</v>
      </c>
      <c r="X4" s="21" t="n">
        <v>22</v>
      </c>
      <c r="Y4" s="21" t="n">
        <v>23</v>
      </c>
      <c r="Z4" s="21" t="n">
        <v>24</v>
      </c>
      <c r="AA4" s="21" t="n">
        <v>25</v>
      </c>
      <c r="AB4" s="21" t="n">
        <v>26</v>
      </c>
      <c r="AC4" s="21" t="n">
        <v>27</v>
      </c>
      <c r="AD4" s="21" t="n">
        <v>28</v>
      </c>
      <c r="AE4" s="21" t="n">
        <v>29</v>
      </c>
      <c r="AF4" s="21" t="n">
        <v>30</v>
      </c>
      <c r="AG4" s="21" t="n">
        <v>31</v>
      </c>
      <c r="AH4" s="21" t="n">
        <v>32</v>
      </c>
      <c r="AI4" s="21" t="n">
        <v>33</v>
      </c>
      <c r="AJ4" s="21" t="n">
        <v>34</v>
      </c>
      <c r="AK4" s="21" t="n">
        <v>35</v>
      </c>
      <c r="AL4" s="21" t="n">
        <v>36</v>
      </c>
      <c r="AM4" s="21" t="n">
        <v>37</v>
      </c>
      <c r="AN4" s="21" t="n">
        <v>38</v>
      </c>
      <c r="AO4" s="21" t="n">
        <v>39</v>
      </c>
      <c r="AP4" s="21" t="n">
        <v>40</v>
      </c>
      <c r="AQ4" s="21" t="n">
        <v>41</v>
      </c>
      <c r="AR4" s="21" t="n">
        <v>42</v>
      </c>
      <c r="AS4" s="21" t="n">
        <v>43</v>
      </c>
      <c r="AT4" s="21" t="n">
        <v>44</v>
      </c>
      <c r="AU4" s="21" t="n">
        <v>45</v>
      </c>
      <c r="AV4" s="21" t="n">
        <v>46</v>
      </c>
      <c r="AW4" s="21" t="n">
        <v>47</v>
      </c>
      <c r="AX4" s="21" t="n">
        <v>48</v>
      </c>
      <c r="AY4" s="21" t="n">
        <v>49</v>
      </c>
      <c r="AZ4" s="21" t="n">
        <v>50</v>
      </c>
      <c r="BA4" s="21" t="n">
        <v>51</v>
      </c>
      <c r="BB4" s="21" t="n">
        <v>52</v>
      </c>
      <c r="BC4" s="21" t="n">
        <v>53</v>
      </c>
      <c r="BD4" s="21" t="n">
        <v>54</v>
      </c>
      <c r="BE4" s="21" t="n">
        <v>55</v>
      </c>
      <c r="BF4" s="21" t="n">
        <v>56</v>
      </c>
      <c r="BG4" s="21" t="n">
        <v>57</v>
      </c>
      <c r="BH4" s="21" t="n">
        <v>58</v>
      </c>
      <c r="BI4" s="21" t="n">
        <v>59</v>
      </c>
      <c r="BJ4" s="21" t="n">
        <v>60</v>
      </c>
    </row>
    <row r="5" customFormat="false" ht="15" hidden="false" customHeight="false" outlineLevel="0" collapsed="false">
      <c r="A5" s="10" t="s">
        <v>115</v>
      </c>
      <c r="C5" s="21" t="n">
        <f aca="false">INT((C4-1)/12)+1</f>
        <v>1</v>
      </c>
      <c r="D5" s="21" t="n">
        <f aca="false">INT((D4-1)/12)+1</f>
        <v>1</v>
      </c>
      <c r="E5" s="21" t="n">
        <f aca="false">INT((E4-1)/12)+1</f>
        <v>1</v>
      </c>
      <c r="F5" s="21" t="n">
        <f aca="false">INT((F4-1)/12)+1</f>
        <v>1</v>
      </c>
      <c r="G5" s="21" t="n">
        <f aca="false">INT((G4-1)/12)+1</f>
        <v>1</v>
      </c>
      <c r="H5" s="21" t="n">
        <f aca="false">INT((H4-1)/12)+1</f>
        <v>1</v>
      </c>
      <c r="I5" s="21" t="n">
        <f aca="false">INT((I4-1)/12)+1</f>
        <v>1</v>
      </c>
      <c r="J5" s="21" t="n">
        <f aca="false">INT((J4-1)/12)+1</f>
        <v>1</v>
      </c>
      <c r="K5" s="21" t="n">
        <f aca="false">INT((K4-1)/12)+1</f>
        <v>1</v>
      </c>
      <c r="L5" s="21" t="n">
        <f aca="false">INT((L4-1)/12)+1</f>
        <v>1</v>
      </c>
      <c r="M5" s="21" t="n">
        <f aca="false">INT((M4-1)/12)+1</f>
        <v>1</v>
      </c>
      <c r="N5" s="21" t="n">
        <f aca="false">INT((N4-1)/12)+1</f>
        <v>1</v>
      </c>
      <c r="O5" s="21" t="n">
        <f aca="false">INT((O4-1)/12)+1</f>
        <v>2</v>
      </c>
      <c r="P5" s="21" t="n">
        <f aca="false">INT((P4-1)/12)+1</f>
        <v>2</v>
      </c>
      <c r="Q5" s="21" t="n">
        <f aca="false">INT((Q4-1)/12)+1</f>
        <v>2</v>
      </c>
      <c r="R5" s="21" t="n">
        <f aca="false">INT((R4-1)/12)+1</f>
        <v>2</v>
      </c>
      <c r="S5" s="21" t="n">
        <f aca="false">INT((S4-1)/12)+1</f>
        <v>2</v>
      </c>
      <c r="T5" s="21" t="n">
        <f aca="false">INT((T4-1)/12)+1</f>
        <v>2</v>
      </c>
      <c r="U5" s="21" t="n">
        <f aca="false">INT((U4-1)/12)+1</f>
        <v>2</v>
      </c>
      <c r="V5" s="21" t="n">
        <f aca="false">INT((V4-1)/12)+1</f>
        <v>2</v>
      </c>
      <c r="W5" s="21" t="n">
        <f aca="false">INT((W4-1)/12)+1</f>
        <v>2</v>
      </c>
      <c r="X5" s="21" t="n">
        <f aca="false">INT((X4-1)/12)+1</f>
        <v>2</v>
      </c>
      <c r="Y5" s="21" t="n">
        <f aca="false">INT((Y4-1)/12)+1</f>
        <v>2</v>
      </c>
      <c r="Z5" s="21" t="n">
        <f aca="false">INT((Z4-1)/12)+1</f>
        <v>2</v>
      </c>
      <c r="AA5" s="21" t="n">
        <f aca="false">INT((AA4-1)/12)+1</f>
        <v>3</v>
      </c>
      <c r="AB5" s="21" t="n">
        <f aca="false">INT((AB4-1)/12)+1</f>
        <v>3</v>
      </c>
      <c r="AC5" s="21" t="n">
        <f aca="false">INT((AC4-1)/12)+1</f>
        <v>3</v>
      </c>
      <c r="AD5" s="21" t="n">
        <f aca="false">INT((AD4-1)/12)+1</f>
        <v>3</v>
      </c>
      <c r="AE5" s="21" t="n">
        <f aca="false">INT((AE4-1)/12)+1</f>
        <v>3</v>
      </c>
      <c r="AF5" s="21" t="n">
        <f aca="false">INT((AF4-1)/12)+1</f>
        <v>3</v>
      </c>
      <c r="AG5" s="21" t="n">
        <f aca="false">INT((AG4-1)/12)+1</f>
        <v>3</v>
      </c>
      <c r="AH5" s="21" t="n">
        <f aca="false">INT((AH4-1)/12)+1</f>
        <v>3</v>
      </c>
      <c r="AI5" s="21" t="n">
        <f aca="false">INT((AI4-1)/12)+1</f>
        <v>3</v>
      </c>
      <c r="AJ5" s="21" t="n">
        <f aca="false">INT((AJ4-1)/12)+1</f>
        <v>3</v>
      </c>
      <c r="AK5" s="21" t="n">
        <f aca="false">INT((AK4-1)/12)+1</f>
        <v>3</v>
      </c>
      <c r="AL5" s="21" t="n">
        <f aca="false">INT((AL4-1)/12)+1</f>
        <v>3</v>
      </c>
      <c r="AM5" s="21" t="n">
        <f aca="false">INT((AM4-1)/12)+1</f>
        <v>4</v>
      </c>
      <c r="AN5" s="21" t="n">
        <f aca="false">INT((AN4-1)/12)+1</f>
        <v>4</v>
      </c>
      <c r="AO5" s="21" t="n">
        <f aca="false">INT((AO4-1)/12)+1</f>
        <v>4</v>
      </c>
      <c r="AP5" s="21" t="n">
        <f aca="false">INT((AP4-1)/12)+1</f>
        <v>4</v>
      </c>
      <c r="AQ5" s="21" t="n">
        <f aca="false">INT((AQ4-1)/12)+1</f>
        <v>4</v>
      </c>
      <c r="AR5" s="21" t="n">
        <f aca="false">INT((AR4-1)/12)+1</f>
        <v>4</v>
      </c>
      <c r="AS5" s="21" t="n">
        <f aca="false">INT((AS4-1)/12)+1</f>
        <v>4</v>
      </c>
      <c r="AT5" s="21" t="n">
        <f aca="false">INT((AT4-1)/12)+1</f>
        <v>4</v>
      </c>
      <c r="AU5" s="21" t="n">
        <f aca="false">INT((AU4-1)/12)+1</f>
        <v>4</v>
      </c>
      <c r="AV5" s="21" t="n">
        <f aca="false">INT((AV4-1)/12)+1</f>
        <v>4</v>
      </c>
      <c r="AW5" s="21" t="n">
        <f aca="false">INT((AW4-1)/12)+1</f>
        <v>4</v>
      </c>
      <c r="AX5" s="21" t="n">
        <f aca="false">INT((AX4-1)/12)+1</f>
        <v>4</v>
      </c>
      <c r="AY5" s="21" t="n">
        <f aca="false">INT((AY4-1)/12)+1</f>
        <v>5</v>
      </c>
      <c r="AZ5" s="21" t="n">
        <f aca="false">INT((AZ4-1)/12)+1</f>
        <v>5</v>
      </c>
      <c r="BA5" s="21" t="n">
        <f aca="false">INT((BA4-1)/12)+1</f>
        <v>5</v>
      </c>
      <c r="BB5" s="21" t="n">
        <f aca="false">INT((BB4-1)/12)+1</f>
        <v>5</v>
      </c>
      <c r="BC5" s="21" t="n">
        <f aca="false">INT((BC4-1)/12)+1</f>
        <v>5</v>
      </c>
      <c r="BD5" s="21" t="n">
        <f aca="false">INT((BD4-1)/12)+1</f>
        <v>5</v>
      </c>
      <c r="BE5" s="21" t="n">
        <f aca="false">INT((BE4-1)/12)+1</f>
        <v>5</v>
      </c>
      <c r="BF5" s="21" t="n">
        <f aca="false">INT((BF4-1)/12)+1</f>
        <v>5</v>
      </c>
      <c r="BG5" s="21" t="n">
        <f aca="false">INT((BG4-1)/12)+1</f>
        <v>5</v>
      </c>
      <c r="BH5" s="21" t="n">
        <f aca="false">INT((BH4-1)/12)+1</f>
        <v>5</v>
      </c>
      <c r="BI5" s="21" t="n">
        <f aca="false">INT((BI4-1)/12)+1</f>
        <v>5</v>
      </c>
      <c r="BJ5" s="21" t="n">
        <f aca="false">INT((BJ4-1)/12)+1</f>
        <v>5</v>
      </c>
    </row>
    <row r="6" customFormat="false" ht="15" hidden="false" customHeight="false" outlineLevel="0" collapsed="false">
      <c r="A6" s="5" t="s">
        <v>116</v>
      </c>
      <c r="C6" s="30" t="n">
        <f aca="false">(1+Assumptions!$C$28)^(C5-1)*Assumptions!$B$21</f>
        <v>1</v>
      </c>
      <c r="D6" s="30" t="n">
        <f aca="false">(1+Assumptions!$C$28)^(D5-1)*Assumptions!$B$21</f>
        <v>1</v>
      </c>
      <c r="E6" s="30" t="n">
        <f aca="false">(1+Assumptions!$C$28)^(E5-1)*Assumptions!$B$21</f>
        <v>1</v>
      </c>
      <c r="F6" s="30" t="n">
        <f aca="false">(1+Assumptions!$C$28)^(F5-1)*Assumptions!$B$21</f>
        <v>1</v>
      </c>
      <c r="G6" s="30" t="n">
        <f aca="false">(1+Assumptions!$C$28)^(G5-1)*Assumptions!$B$21</f>
        <v>1</v>
      </c>
      <c r="H6" s="30" t="n">
        <f aca="false">(1+Assumptions!$C$28)^(H5-1)*Assumptions!$B$21</f>
        <v>1</v>
      </c>
      <c r="I6" s="30" t="n">
        <f aca="false">(1+Assumptions!$C$28)^(I5-1)*Assumptions!$B$21</f>
        <v>1</v>
      </c>
      <c r="J6" s="30" t="n">
        <f aca="false">(1+Assumptions!$C$28)^(J5-1)*Assumptions!$B$21</f>
        <v>1</v>
      </c>
      <c r="K6" s="30" t="n">
        <f aca="false">(1+Assumptions!$C$28)^(K5-1)*Assumptions!$B$21</f>
        <v>1</v>
      </c>
      <c r="L6" s="30" t="n">
        <f aca="false">(1+Assumptions!$C$28)^(L5-1)*Assumptions!$B$21</f>
        <v>1</v>
      </c>
      <c r="M6" s="30" t="n">
        <f aca="false">(1+Assumptions!$C$28)^(M5-1)*Assumptions!$B$21</f>
        <v>1</v>
      </c>
      <c r="N6" s="30" t="n">
        <f aca="false">(1+Assumptions!$C$28)^(N5-1)*Assumptions!$B$21</f>
        <v>1</v>
      </c>
      <c r="O6" s="30" t="n">
        <f aca="false">(1+Assumptions!$C$28)^(O5-1)*Assumptions!$B$21</f>
        <v>1</v>
      </c>
      <c r="P6" s="30" t="n">
        <f aca="false">(1+Assumptions!$C$28)^(P5-1)*Assumptions!$B$21</f>
        <v>1</v>
      </c>
      <c r="Q6" s="30" t="n">
        <f aca="false">(1+Assumptions!$C$28)^(Q5-1)*Assumptions!$B$21</f>
        <v>1</v>
      </c>
      <c r="R6" s="30" t="n">
        <f aca="false">(1+Assumptions!$C$28)^(R5-1)*Assumptions!$B$21</f>
        <v>1</v>
      </c>
      <c r="S6" s="30" t="n">
        <f aca="false">(1+Assumptions!$C$28)^(S5-1)*Assumptions!$B$21</f>
        <v>1</v>
      </c>
      <c r="T6" s="30" t="n">
        <f aca="false">(1+Assumptions!$C$28)^(T5-1)*Assumptions!$B$21</f>
        <v>1</v>
      </c>
      <c r="U6" s="30" t="n">
        <f aca="false">(1+Assumptions!$C$28)^(U5-1)*Assumptions!$B$21</f>
        <v>1</v>
      </c>
      <c r="V6" s="30" t="n">
        <f aca="false">(1+Assumptions!$C$28)^(V5-1)*Assumptions!$B$21</f>
        <v>1</v>
      </c>
      <c r="W6" s="30" t="n">
        <f aca="false">(1+Assumptions!$C$28)^(W5-1)*Assumptions!$B$21</f>
        <v>1</v>
      </c>
      <c r="X6" s="30" t="n">
        <f aca="false">(1+Assumptions!$C$28)^(X5-1)*Assumptions!$B$21</f>
        <v>1</v>
      </c>
      <c r="Y6" s="30" t="n">
        <f aca="false">(1+Assumptions!$C$28)^(Y5-1)*Assumptions!$B$21</f>
        <v>1</v>
      </c>
      <c r="Z6" s="30" t="n">
        <f aca="false">(1+Assumptions!$C$28)^(Z5-1)*Assumptions!$B$21</f>
        <v>1</v>
      </c>
      <c r="AA6" s="30" t="n">
        <f aca="false">(1+Assumptions!$C$28)^(AA5-1)*Assumptions!$B$21</f>
        <v>1</v>
      </c>
      <c r="AB6" s="30" t="n">
        <f aca="false">(1+Assumptions!$C$28)^(AB5-1)*Assumptions!$B$21</f>
        <v>1</v>
      </c>
      <c r="AC6" s="30" t="n">
        <f aca="false">(1+Assumptions!$C$28)^(AC5-1)*Assumptions!$B$21</f>
        <v>1</v>
      </c>
      <c r="AD6" s="30" t="n">
        <f aca="false">(1+Assumptions!$C$28)^(AD5-1)*Assumptions!$B$21</f>
        <v>1</v>
      </c>
      <c r="AE6" s="30" t="n">
        <f aca="false">(1+Assumptions!$C$28)^(AE5-1)*Assumptions!$B$21</f>
        <v>1</v>
      </c>
      <c r="AF6" s="30" t="n">
        <f aca="false">(1+Assumptions!$C$28)^(AF5-1)*Assumptions!$B$21</f>
        <v>1</v>
      </c>
      <c r="AG6" s="30" t="n">
        <f aca="false">(1+Assumptions!$C$28)^(AG5-1)*Assumptions!$B$21</f>
        <v>1</v>
      </c>
      <c r="AH6" s="30" t="n">
        <f aca="false">(1+Assumptions!$C$28)^(AH5-1)*Assumptions!$B$21</f>
        <v>1</v>
      </c>
      <c r="AI6" s="30" t="n">
        <f aca="false">(1+Assumptions!$C$28)^(AI5-1)*Assumptions!$B$21</f>
        <v>1</v>
      </c>
      <c r="AJ6" s="30" t="n">
        <f aca="false">(1+Assumptions!$C$28)^(AJ5-1)*Assumptions!$B$21</f>
        <v>1</v>
      </c>
      <c r="AK6" s="30" t="n">
        <f aca="false">(1+Assumptions!$C$28)^(AK5-1)*Assumptions!$B$21</f>
        <v>1</v>
      </c>
      <c r="AL6" s="30" t="n">
        <f aca="false">(1+Assumptions!$C$28)^(AL5-1)*Assumptions!$B$21</f>
        <v>1</v>
      </c>
      <c r="AM6" s="30" t="n">
        <f aca="false">(1+Assumptions!$C$28)^(AM5-1)*Assumptions!$B$21</f>
        <v>1</v>
      </c>
      <c r="AN6" s="30" t="n">
        <f aca="false">(1+Assumptions!$C$28)^(AN5-1)*Assumptions!$B$21</f>
        <v>1</v>
      </c>
      <c r="AO6" s="30" t="n">
        <f aca="false">(1+Assumptions!$C$28)^(AO5-1)*Assumptions!$B$21</f>
        <v>1</v>
      </c>
      <c r="AP6" s="30" t="n">
        <f aca="false">(1+Assumptions!$C$28)^(AP5-1)*Assumptions!$B$21</f>
        <v>1</v>
      </c>
      <c r="AQ6" s="30" t="n">
        <f aca="false">(1+Assumptions!$C$28)^(AQ5-1)*Assumptions!$B$21</f>
        <v>1</v>
      </c>
      <c r="AR6" s="30" t="n">
        <f aca="false">(1+Assumptions!$C$28)^(AR5-1)*Assumptions!$B$21</f>
        <v>1</v>
      </c>
      <c r="AS6" s="30" t="n">
        <f aca="false">(1+Assumptions!$C$28)^(AS5-1)*Assumptions!$B$21</f>
        <v>1</v>
      </c>
      <c r="AT6" s="30" t="n">
        <f aca="false">(1+Assumptions!$C$28)^(AT5-1)*Assumptions!$B$21</f>
        <v>1</v>
      </c>
      <c r="AU6" s="30" t="n">
        <f aca="false">(1+Assumptions!$C$28)^(AU5-1)*Assumptions!$B$21</f>
        <v>1</v>
      </c>
      <c r="AV6" s="30" t="n">
        <f aca="false">(1+Assumptions!$C$28)^(AV5-1)*Assumptions!$B$21</f>
        <v>1</v>
      </c>
      <c r="AW6" s="30" t="n">
        <f aca="false">(1+Assumptions!$C$28)^(AW5-1)*Assumptions!$B$21</f>
        <v>1</v>
      </c>
      <c r="AX6" s="30" t="n">
        <f aca="false">(1+Assumptions!$C$28)^(AX5-1)*Assumptions!$B$21</f>
        <v>1</v>
      </c>
      <c r="AY6" s="30" t="n">
        <f aca="false">(1+Assumptions!$C$28)^(AY5-1)*Assumptions!$B$21</f>
        <v>1</v>
      </c>
      <c r="AZ6" s="30" t="n">
        <f aca="false">(1+Assumptions!$C$28)^(AZ5-1)*Assumptions!$B$21</f>
        <v>1</v>
      </c>
      <c r="BA6" s="30" t="n">
        <f aca="false">(1+Assumptions!$C$28)^(BA5-1)*Assumptions!$B$21</f>
        <v>1</v>
      </c>
      <c r="BB6" s="30" t="n">
        <f aca="false">(1+Assumptions!$C$28)^(BB5-1)*Assumptions!$B$21</f>
        <v>1</v>
      </c>
      <c r="BC6" s="30" t="n">
        <f aca="false">(1+Assumptions!$C$28)^(BC5-1)*Assumptions!$B$21</f>
        <v>1</v>
      </c>
      <c r="BD6" s="30" t="n">
        <f aca="false">(1+Assumptions!$C$28)^(BD5-1)*Assumptions!$B$21</f>
        <v>1</v>
      </c>
      <c r="BE6" s="30" t="n">
        <f aca="false">(1+Assumptions!$C$28)^(BE5-1)*Assumptions!$B$21</f>
        <v>1</v>
      </c>
      <c r="BF6" s="30" t="n">
        <f aca="false">(1+Assumptions!$C$28)^(BF5-1)*Assumptions!$B$21</f>
        <v>1</v>
      </c>
      <c r="BG6" s="30" t="n">
        <f aca="false">(1+Assumptions!$C$28)^(BG5-1)*Assumptions!$B$21</f>
        <v>1</v>
      </c>
      <c r="BH6" s="30" t="n">
        <f aca="false">(1+Assumptions!$C$28)^(BH5-1)*Assumptions!$B$21</f>
        <v>1</v>
      </c>
      <c r="BI6" s="30" t="n">
        <f aca="false">(1+Assumptions!$C$28)^(BI5-1)*Assumptions!$B$21</f>
        <v>1</v>
      </c>
      <c r="BJ6" s="30" t="n">
        <f aca="false">(1+Assumptions!$C$28)^(BJ5-1)*Assumptions!$B$21</f>
        <v>1</v>
      </c>
    </row>
    <row r="8" customFormat="false" ht="15" hidden="false" customHeight="false" outlineLevel="0" collapsed="false">
      <c r="A8" s="10" t="s">
        <v>117</v>
      </c>
    </row>
    <row r="9" customFormat="false" ht="15" hidden="false" customHeight="false" outlineLevel="0" collapsed="false">
      <c r="A9" s="5" t="s">
        <v>42</v>
      </c>
      <c r="C9" s="31" t="n">
        <f aca="false">IF(C4&lt;Assumptions!$E$6,0,MIN(1,(C4-Assumptions!$E$6+1)/Assumptions!$C$29))</f>
        <v>0.0666666666666667</v>
      </c>
      <c r="D9" s="31" t="n">
        <f aca="false">IF(D4&lt;Assumptions!$E$6,0,MIN(1,(D4-Assumptions!$E$6+1)/Assumptions!$C$29))</f>
        <v>0.133333333333333</v>
      </c>
      <c r="E9" s="31" t="n">
        <f aca="false">IF(E4&lt;Assumptions!$E$6,0,MIN(1,(E4-Assumptions!$E$6+1)/Assumptions!$C$29))</f>
        <v>0.2</v>
      </c>
      <c r="F9" s="31" t="n">
        <f aca="false">IF(F4&lt;Assumptions!$E$6,0,MIN(1,(F4-Assumptions!$E$6+1)/Assumptions!$C$29))</f>
        <v>0.266666666666667</v>
      </c>
      <c r="G9" s="31" t="n">
        <f aca="false">IF(G4&lt;Assumptions!$E$6,0,MIN(1,(G4-Assumptions!$E$6+1)/Assumptions!$C$29))</f>
        <v>0.333333333333333</v>
      </c>
      <c r="H9" s="31" t="n">
        <f aca="false">IF(H4&lt;Assumptions!$E$6,0,MIN(1,(H4-Assumptions!$E$6+1)/Assumptions!$C$29))</f>
        <v>0.4</v>
      </c>
      <c r="I9" s="31" t="n">
        <f aca="false">IF(I4&lt;Assumptions!$E$6,0,MIN(1,(I4-Assumptions!$E$6+1)/Assumptions!$C$29))</f>
        <v>0.466666666666667</v>
      </c>
      <c r="J9" s="31" t="n">
        <f aca="false">IF(J4&lt;Assumptions!$E$6,0,MIN(1,(J4-Assumptions!$E$6+1)/Assumptions!$C$29))</f>
        <v>0.533333333333333</v>
      </c>
      <c r="K9" s="31" t="n">
        <f aca="false">IF(K4&lt;Assumptions!$E$6,0,MIN(1,(K4-Assumptions!$E$6+1)/Assumptions!$C$29))</f>
        <v>0.6</v>
      </c>
      <c r="L9" s="31" t="n">
        <f aca="false">IF(L4&lt;Assumptions!$E$6,0,MIN(1,(L4-Assumptions!$E$6+1)/Assumptions!$C$29))</f>
        <v>0.666666666666667</v>
      </c>
      <c r="M9" s="31" t="n">
        <f aca="false">IF(M4&lt;Assumptions!$E$6,0,MIN(1,(M4-Assumptions!$E$6+1)/Assumptions!$C$29))</f>
        <v>0.733333333333333</v>
      </c>
      <c r="N9" s="31" t="n">
        <f aca="false">IF(N4&lt;Assumptions!$E$6,0,MIN(1,(N4-Assumptions!$E$6+1)/Assumptions!$C$29))</f>
        <v>0.8</v>
      </c>
      <c r="O9" s="31" t="n">
        <f aca="false">IF(O4&lt;Assumptions!$E$6,0,MIN(1,(O4-Assumptions!$E$6+1)/Assumptions!$C$29))</f>
        <v>0.866666666666667</v>
      </c>
      <c r="P9" s="31" t="n">
        <f aca="false">IF(P4&lt;Assumptions!$E$6,0,MIN(1,(P4-Assumptions!$E$6+1)/Assumptions!$C$29))</f>
        <v>0.933333333333333</v>
      </c>
      <c r="Q9" s="31" t="n">
        <f aca="false">IF(Q4&lt;Assumptions!$E$6,0,MIN(1,(Q4-Assumptions!$E$6+1)/Assumptions!$C$29))</f>
        <v>1</v>
      </c>
      <c r="R9" s="31" t="n">
        <f aca="false">IF(R4&lt;Assumptions!$E$6,0,MIN(1,(R4-Assumptions!$E$6+1)/Assumptions!$C$29))</f>
        <v>1</v>
      </c>
      <c r="S9" s="31" t="n">
        <f aca="false">IF(S4&lt;Assumptions!$E$6,0,MIN(1,(S4-Assumptions!$E$6+1)/Assumptions!$C$29))</f>
        <v>1</v>
      </c>
      <c r="T9" s="31" t="n">
        <f aca="false">IF(T4&lt;Assumptions!$E$6,0,MIN(1,(T4-Assumptions!$E$6+1)/Assumptions!$C$29))</f>
        <v>1</v>
      </c>
      <c r="U9" s="31" t="n">
        <f aca="false">IF(U4&lt;Assumptions!$E$6,0,MIN(1,(U4-Assumptions!$E$6+1)/Assumptions!$C$29))</f>
        <v>1</v>
      </c>
      <c r="V9" s="31" t="n">
        <f aca="false">IF(V4&lt;Assumptions!$E$6,0,MIN(1,(V4-Assumptions!$E$6+1)/Assumptions!$C$29))</f>
        <v>1</v>
      </c>
      <c r="W9" s="31" t="n">
        <f aca="false">IF(W4&lt;Assumptions!$E$6,0,MIN(1,(W4-Assumptions!$E$6+1)/Assumptions!$C$29))</f>
        <v>1</v>
      </c>
      <c r="X9" s="31" t="n">
        <f aca="false">IF(X4&lt;Assumptions!$E$6,0,MIN(1,(X4-Assumptions!$E$6+1)/Assumptions!$C$29))</f>
        <v>1</v>
      </c>
      <c r="Y9" s="31" t="n">
        <f aca="false">IF(Y4&lt;Assumptions!$E$6,0,MIN(1,(Y4-Assumptions!$E$6+1)/Assumptions!$C$29))</f>
        <v>1</v>
      </c>
      <c r="Z9" s="31" t="n">
        <f aca="false">IF(Z4&lt;Assumptions!$E$6,0,MIN(1,(Z4-Assumptions!$E$6+1)/Assumptions!$C$29))</f>
        <v>1</v>
      </c>
      <c r="AA9" s="31" t="n">
        <f aca="false">IF(AA4&lt;Assumptions!$E$6,0,MIN(1,(AA4-Assumptions!$E$6+1)/Assumptions!$C$29))</f>
        <v>1</v>
      </c>
      <c r="AB9" s="31" t="n">
        <f aca="false">IF(AB4&lt;Assumptions!$E$6,0,MIN(1,(AB4-Assumptions!$E$6+1)/Assumptions!$C$29))</f>
        <v>1</v>
      </c>
      <c r="AC9" s="31" t="n">
        <f aca="false">IF(AC4&lt;Assumptions!$E$6,0,MIN(1,(AC4-Assumptions!$E$6+1)/Assumptions!$C$29))</f>
        <v>1</v>
      </c>
      <c r="AD9" s="31" t="n">
        <f aca="false">IF(AD4&lt;Assumptions!$E$6,0,MIN(1,(AD4-Assumptions!$E$6+1)/Assumptions!$C$29))</f>
        <v>1</v>
      </c>
      <c r="AE9" s="31" t="n">
        <f aca="false">IF(AE4&lt;Assumptions!$E$6,0,MIN(1,(AE4-Assumptions!$E$6+1)/Assumptions!$C$29))</f>
        <v>1</v>
      </c>
      <c r="AF9" s="31" t="n">
        <f aca="false">IF(AF4&lt;Assumptions!$E$6,0,MIN(1,(AF4-Assumptions!$E$6+1)/Assumptions!$C$29))</f>
        <v>1</v>
      </c>
      <c r="AG9" s="31" t="n">
        <f aca="false">IF(AG4&lt;Assumptions!$E$6,0,MIN(1,(AG4-Assumptions!$E$6+1)/Assumptions!$C$29))</f>
        <v>1</v>
      </c>
      <c r="AH9" s="31" t="n">
        <f aca="false">IF(AH4&lt;Assumptions!$E$6,0,MIN(1,(AH4-Assumptions!$E$6+1)/Assumptions!$C$29))</f>
        <v>1</v>
      </c>
      <c r="AI9" s="31" t="n">
        <f aca="false">IF(AI4&lt;Assumptions!$E$6,0,MIN(1,(AI4-Assumptions!$E$6+1)/Assumptions!$C$29))</f>
        <v>1</v>
      </c>
      <c r="AJ9" s="31" t="n">
        <f aca="false">IF(AJ4&lt;Assumptions!$E$6,0,MIN(1,(AJ4-Assumptions!$E$6+1)/Assumptions!$C$29))</f>
        <v>1</v>
      </c>
      <c r="AK9" s="31" t="n">
        <f aca="false">IF(AK4&lt;Assumptions!$E$6,0,MIN(1,(AK4-Assumptions!$E$6+1)/Assumptions!$C$29))</f>
        <v>1</v>
      </c>
      <c r="AL9" s="31" t="n">
        <f aca="false">IF(AL4&lt;Assumptions!$E$6,0,MIN(1,(AL4-Assumptions!$E$6+1)/Assumptions!$C$29))</f>
        <v>1</v>
      </c>
      <c r="AM9" s="31" t="n">
        <f aca="false">IF(AM4&lt;Assumptions!$E$6,0,MIN(1,(AM4-Assumptions!$E$6+1)/Assumptions!$C$29))</f>
        <v>1</v>
      </c>
      <c r="AN9" s="31" t="n">
        <f aca="false">IF(AN4&lt;Assumptions!$E$6,0,MIN(1,(AN4-Assumptions!$E$6+1)/Assumptions!$C$29))</f>
        <v>1</v>
      </c>
      <c r="AO9" s="31" t="n">
        <f aca="false">IF(AO4&lt;Assumptions!$E$6,0,MIN(1,(AO4-Assumptions!$E$6+1)/Assumptions!$C$29))</f>
        <v>1</v>
      </c>
      <c r="AP9" s="31" t="n">
        <f aca="false">IF(AP4&lt;Assumptions!$E$6,0,MIN(1,(AP4-Assumptions!$E$6+1)/Assumptions!$C$29))</f>
        <v>1</v>
      </c>
      <c r="AQ9" s="31" t="n">
        <f aca="false">IF(AQ4&lt;Assumptions!$E$6,0,MIN(1,(AQ4-Assumptions!$E$6+1)/Assumptions!$C$29))</f>
        <v>1</v>
      </c>
      <c r="AR9" s="31" t="n">
        <f aca="false">IF(AR4&lt;Assumptions!$E$6,0,MIN(1,(AR4-Assumptions!$E$6+1)/Assumptions!$C$29))</f>
        <v>1</v>
      </c>
      <c r="AS9" s="31" t="n">
        <f aca="false">IF(AS4&lt;Assumptions!$E$6,0,MIN(1,(AS4-Assumptions!$E$6+1)/Assumptions!$C$29))</f>
        <v>1</v>
      </c>
      <c r="AT9" s="31" t="n">
        <f aca="false">IF(AT4&lt;Assumptions!$E$6,0,MIN(1,(AT4-Assumptions!$E$6+1)/Assumptions!$C$29))</f>
        <v>1</v>
      </c>
      <c r="AU9" s="31" t="n">
        <f aca="false">IF(AU4&lt;Assumptions!$E$6,0,MIN(1,(AU4-Assumptions!$E$6+1)/Assumptions!$C$29))</f>
        <v>1</v>
      </c>
      <c r="AV9" s="31" t="n">
        <f aca="false">IF(AV4&lt;Assumptions!$E$6,0,MIN(1,(AV4-Assumptions!$E$6+1)/Assumptions!$C$29))</f>
        <v>1</v>
      </c>
      <c r="AW9" s="31" t="n">
        <f aca="false">IF(AW4&lt;Assumptions!$E$6,0,MIN(1,(AW4-Assumptions!$E$6+1)/Assumptions!$C$29))</f>
        <v>1</v>
      </c>
      <c r="AX9" s="31" t="n">
        <f aca="false">IF(AX4&lt;Assumptions!$E$6,0,MIN(1,(AX4-Assumptions!$E$6+1)/Assumptions!$C$29))</f>
        <v>1</v>
      </c>
      <c r="AY9" s="31" t="n">
        <f aca="false">IF(AY4&lt;Assumptions!$E$6,0,MIN(1,(AY4-Assumptions!$E$6+1)/Assumptions!$C$29))</f>
        <v>1</v>
      </c>
      <c r="AZ9" s="31" t="n">
        <f aca="false">IF(AZ4&lt;Assumptions!$E$6,0,MIN(1,(AZ4-Assumptions!$E$6+1)/Assumptions!$C$29))</f>
        <v>1</v>
      </c>
      <c r="BA9" s="31" t="n">
        <f aca="false">IF(BA4&lt;Assumptions!$E$6,0,MIN(1,(BA4-Assumptions!$E$6+1)/Assumptions!$C$29))</f>
        <v>1</v>
      </c>
      <c r="BB9" s="31" t="n">
        <f aca="false">IF(BB4&lt;Assumptions!$E$6,0,MIN(1,(BB4-Assumptions!$E$6+1)/Assumptions!$C$29))</f>
        <v>1</v>
      </c>
      <c r="BC9" s="31" t="n">
        <f aca="false">IF(BC4&lt;Assumptions!$E$6,0,MIN(1,(BC4-Assumptions!$E$6+1)/Assumptions!$C$29))</f>
        <v>1</v>
      </c>
      <c r="BD9" s="31" t="n">
        <f aca="false">IF(BD4&lt;Assumptions!$E$6,0,MIN(1,(BD4-Assumptions!$E$6+1)/Assumptions!$C$29))</f>
        <v>1</v>
      </c>
      <c r="BE9" s="31" t="n">
        <f aca="false">IF(BE4&lt;Assumptions!$E$6,0,MIN(1,(BE4-Assumptions!$E$6+1)/Assumptions!$C$29))</f>
        <v>1</v>
      </c>
      <c r="BF9" s="31" t="n">
        <f aca="false">IF(BF4&lt;Assumptions!$E$6,0,MIN(1,(BF4-Assumptions!$E$6+1)/Assumptions!$C$29))</f>
        <v>1</v>
      </c>
      <c r="BG9" s="31" t="n">
        <f aca="false">IF(BG4&lt;Assumptions!$E$6,0,MIN(1,(BG4-Assumptions!$E$6+1)/Assumptions!$C$29))</f>
        <v>1</v>
      </c>
      <c r="BH9" s="31" t="n">
        <f aca="false">IF(BH4&lt;Assumptions!$E$6,0,MIN(1,(BH4-Assumptions!$E$6+1)/Assumptions!$C$29))</f>
        <v>1</v>
      </c>
      <c r="BI9" s="31" t="n">
        <f aca="false">IF(BI4&lt;Assumptions!$E$6,0,MIN(1,(BI4-Assumptions!$E$6+1)/Assumptions!$C$29))</f>
        <v>1</v>
      </c>
      <c r="BJ9" s="31" t="n">
        <f aca="false">IF(BJ4&lt;Assumptions!$E$6,0,MIN(1,(BJ4-Assumptions!$E$6+1)/Assumptions!$C$29))</f>
        <v>1</v>
      </c>
    </row>
    <row r="10" customFormat="false" ht="15" hidden="false" customHeight="false" outlineLevel="0" collapsed="false">
      <c r="A10" s="5" t="s">
        <v>44</v>
      </c>
      <c r="C10" s="31" t="n">
        <f aca="false">IF(C4&lt;Assumptions!$E$7,0,MIN(1,(C4-Assumptions!$E$7+1)/Assumptions!$C$29))</f>
        <v>0</v>
      </c>
      <c r="D10" s="31" t="n">
        <f aca="false">IF(D4&lt;Assumptions!$E$7,0,MIN(1,(D4-Assumptions!$E$7+1)/Assumptions!$C$29))</f>
        <v>0</v>
      </c>
      <c r="E10" s="31" t="n">
        <f aca="false">IF(E4&lt;Assumptions!$E$7,0,MIN(1,(E4-Assumptions!$E$7+1)/Assumptions!$C$29))</f>
        <v>0</v>
      </c>
      <c r="F10" s="31" t="n">
        <f aca="false">IF(F4&lt;Assumptions!$E$7,0,MIN(1,(F4-Assumptions!$E$7+1)/Assumptions!$C$29))</f>
        <v>0</v>
      </c>
      <c r="G10" s="31" t="n">
        <f aca="false">IF(G4&lt;Assumptions!$E$7,0,MIN(1,(G4-Assumptions!$E$7+1)/Assumptions!$C$29))</f>
        <v>0</v>
      </c>
      <c r="H10" s="31" t="n">
        <f aca="false">IF(H4&lt;Assumptions!$E$7,0,MIN(1,(H4-Assumptions!$E$7+1)/Assumptions!$C$29))</f>
        <v>0</v>
      </c>
      <c r="I10" s="31" t="n">
        <f aca="false">IF(I4&lt;Assumptions!$E$7,0,MIN(1,(I4-Assumptions!$E$7+1)/Assumptions!$C$29))</f>
        <v>0.0666666666666667</v>
      </c>
      <c r="J10" s="31" t="n">
        <f aca="false">IF(J4&lt;Assumptions!$E$7,0,MIN(1,(J4-Assumptions!$E$7+1)/Assumptions!$C$29))</f>
        <v>0.133333333333333</v>
      </c>
      <c r="K10" s="31" t="n">
        <f aca="false">IF(K4&lt;Assumptions!$E$7,0,MIN(1,(K4-Assumptions!$E$7+1)/Assumptions!$C$29))</f>
        <v>0.2</v>
      </c>
      <c r="L10" s="31" t="n">
        <f aca="false">IF(L4&lt;Assumptions!$E$7,0,MIN(1,(L4-Assumptions!$E$7+1)/Assumptions!$C$29))</f>
        <v>0.266666666666667</v>
      </c>
      <c r="M10" s="31" t="n">
        <f aca="false">IF(M4&lt;Assumptions!$E$7,0,MIN(1,(M4-Assumptions!$E$7+1)/Assumptions!$C$29))</f>
        <v>0.333333333333333</v>
      </c>
      <c r="N10" s="31" t="n">
        <f aca="false">IF(N4&lt;Assumptions!$E$7,0,MIN(1,(N4-Assumptions!$E$7+1)/Assumptions!$C$29))</f>
        <v>0.4</v>
      </c>
      <c r="O10" s="31" t="n">
        <f aca="false">IF(O4&lt;Assumptions!$E$7,0,MIN(1,(O4-Assumptions!$E$7+1)/Assumptions!$C$29))</f>
        <v>0.466666666666667</v>
      </c>
      <c r="P10" s="31" t="n">
        <f aca="false">IF(P4&lt;Assumptions!$E$7,0,MIN(1,(P4-Assumptions!$E$7+1)/Assumptions!$C$29))</f>
        <v>0.533333333333333</v>
      </c>
      <c r="Q10" s="31" t="n">
        <f aca="false">IF(Q4&lt;Assumptions!$E$7,0,MIN(1,(Q4-Assumptions!$E$7+1)/Assumptions!$C$29))</f>
        <v>0.6</v>
      </c>
      <c r="R10" s="31" t="n">
        <f aca="false">IF(R4&lt;Assumptions!$E$7,0,MIN(1,(R4-Assumptions!$E$7+1)/Assumptions!$C$29))</f>
        <v>0.666666666666667</v>
      </c>
      <c r="S10" s="31" t="n">
        <f aca="false">IF(S4&lt;Assumptions!$E$7,0,MIN(1,(S4-Assumptions!$E$7+1)/Assumptions!$C$29))</f>
        <v>0.733333333333333</v>
      </c>
      <c r="T10" s="31" t="n">
        <f aca="false">IF(T4&lt;Assumptions!$E$7,0,MIN(1,(T4-Assumptions!$E$7+1)/Assumptions!$C$29))</f>
        <v>0.8</v>
      </c>
      <c r="U10" s="31" t="n">
        <f aca="false">IF(U4&lt;Assumptions!$E$7,0,MIN(1,(U4-Assumptions!$E$7+1)/Assumptions!$C$29))</f>
        <v>0.866666666666667</v>
      </c>
      <c r="V10" s="31" t="n">
        <f aca="false">IF(V4&lt;Assumptions!$E$7,0,MIN(1,(V4-Assumptions!$E$7+1)/Assumptions!$C$29))</f>
        <v>0.933333333333333</v>
      </c>
      <c r="W10" s="31" t="n">
        <f aca="false">IF(W4&lt;Assumptions!$E$7,0,MIN(1,(W4-Assumptions!$E$7+1)/Assumptions!$C$29))</f>
        <v>1</v>
      </c>
      <c r="X10" s="31" t="n">
        <f aca="false">IF(X4&lt;Assumptions!$E$7,0,MIN(1,(X4-Assumptions!$E$7+1)/Assumptions!$C$29))</f>
        <v>1</v>
      </c>
      <c r="Y10" s="31" t="n">
        <f aca="false">IF(Y4&lt;Assumptions!$E$7,0,MIN(1,(Y4-Assumptions!$E$7+1)/Assumptions!$C$29))</f>
        <v>1</v>
      </c>
      <c r="Z10" s="31" t="n">
        <f aca="false">IF(Z4&lt;Assumptions!$E$7,0,MIN(1,(Z4-Assumptions!$E$7+1)/Assumptions!$C$29))</f>
        <v>1</v>
      </c>
      <c r="AA10" s="31" t="n">
        <f aca="false">IF(AA4&lt;Assumptions!$E$7,0,MIN(1,(AA4-Assumptions!$E$7+1)/Assumptions!$C$29))</f>
        <v>1</v>
      </c>
      <c r="AB10" s="31" t="n">
        <f aca="false">IF(AB4&lt;Assumptions!$E$7,0,MIN(1,(AB4-Assumptions!$E$7+1)/Assumptions!$C$29))</f>
        <v>1</v>
      </c>
      <c r="AC10" s="31" t="n">
        <f aca="false">IF(AC4&lt;Assumptions!$E$7,0,MIN(1,(AC4-Assumptions!$E$7+1)/Assumptions!$C$29))</f>
        <v>1</v>
      </c>
      <c r="AD10" s="31" t="n">
        <f aca="false">IF(AD4&lt;Assumptions!$E$7,0,MIN(1,(AD4-Assumptions!$E$7+1)/Assumptions!$C$29))</f>
        <v>1</v>
      </c>
      <c r="AE10" s="31" t="n">
        <f aca="false">IF(AE4&lt;Assumptions!$E$7,0,MIN(1,(AE4-Assumptions!$E$7+1)/Assumptions!$C$29))</f>
        <v>1</v>
      </c>
      <c r="AF10" s="31" t="n">
        <f aca="false">IF(AF4&lt;Assumptions!$E$7,0,MIN(1,(AF4-Assumptions!$E$7+1)/Assumptions!$C$29))</f>
        <v>1</v>
      </c>
      <c r="AG10" s="31" t="n">
        <f aca="false">IF(AG4&lt;Assumptions!$E$7,0,MIN(1,(AG4-Assumptions!$E$7+1)/Assumptions!$C$29))</f>
        <v>1</v>
      </c>
      <c r="AH10" s="31" t="n">
        <f aca="false">IF(AH4&lt;Assumptions!$E$7,0,MIN(1,(AH4-Assumptions!$E$7+1)/Assumptions!$C$29))</f>
        <v>1</v>
      </c>
      <c r="AI10" s="31" t="n">
        <f aca="false">IF(AI4&lt;Assumptions!$E$7,0,MIN(1,(AI4-Assumptions!$E$7+1)/Assumptions!$C$29))</f>
        <v>1</v>
      </c>
      <c r="AJ10" s="31" t="n">
        <f aca="false">IF(AJ4&lt;Assumptions!$E$7,0,MIN(1,(AJ4-Assumptions!$E$7+1)/Assumptions!$C$29))</f>
        <v>1</v>
      </c>
      <c r="AK10" s="31" t="n">
        <f aca="false">IF(AK4&lt;Assumptions!$E$7,0,MIN(1,(AK4-Assumptions!$E$7+1)/Assumptions!$C$29))</f>
        <v>1</v>
      </c>
      <c r="AL10" s="31" t="n">
        <f aca="false">IF(AL4&lt;Assumptions!$E$7,0,MIN(1,(AL4-Assumptions!$E$7+1)/Assumptions!$C$29))</f>
        <v>1</v>
      </c>
      <c r="AM10" s="31" t="n">
        <f aca="false">IF(AM4&lt;Assumptions!$E$7,0,MIN(1,(AM4-Assumptions!$E$7+1)/Assumptions!$C$29))</f>
        <v>1</v>
      </c>
      <c r="AN10" s="31" t="n">
        <f aca="false">IF(AN4&lt;Assumptions!$E$7,0,MIN(1,(AN4-Assumptions!$E$7+1)/Assumptions!$C$29))</f>
        <v>1</v>
      </c>
      <c r="AO10" s="31" t="n">
        <f aca="false">IF(AO4&lt;Assumptions!$E$7,0,MIN(1,(AO4-Assumptions!$E$7+1)/Assumptions!$C$29))</f>
        <v>1</v>
      </c>
      <c r="AP10" s="31" t="n">
        <f aca="false">IF(AP4&lt;Assumptions!$E$7,0,MIN(1,(AP4-Assumptions!$E$7+1)/Assumptions!$C$29))</f>
        <v>1</v>
      </c>
      <c r="AQ10" s="31" t="n">
        <f aca="false">IF(AQ4&lt;Assumptions!$E$7,0,MIN(1,(AQ4-Assumptions!$E$7+1)/Assumptions!$C$29))</f>
        <v>1</v>
      </c>
      <c r="AR10" s="31" t="n">
        <f aca="false">IF(AR4&lt;Assumptions!$E$7,0,MIN(1,(AR4-Assumptions!$E$7+1)/Assumptions!$C$29))</f>
        <v>1</v>
      </c>
      <c r="AS10" s="31" t="n">
        <f aca="false">IF(AS4&lt;Assumptions!$E$7,0,MIN(1,(AS4-Assumptions!$E$7+1)/Assumptions!$C$29))</f>
        <v>1</v>
      </c>
      <c r="AT10" s="31" t="n">
        <f aca="false">IF(AT4&lt;Assumptions!$E$7,0,MIN(1,(AT4-Assumptions!$E$7+1)/Assumptions!$C$29))</f>
        <v>1</v>
      </c>
      <c r="AU10" s="31" t="n">
        <f aca="false">IF(AU4&lt;Assumptions!$E$7,0,MIN(1,(AU4-Assumptions!$E$7+1)/Assumptions!$C$29))</f>
        <v>1</v>
      </c>
      <c r="AV10" s="31" t="n">
        <f aca="false">IF(AV4&lt;Assumptions!$E$7,0,MIN(1,(AV4-Assumptions!$E$7+1)/Assumptions!$C$29))</f>
        <v>1</v>
      </c>
      <c r="AW10" s="31" t="n">
        <f aca="false">IF(AW4&lt;Assumptions!$E$7,0,MIN(1,(AW4-Assumptions!$E$7+1)/Assumptions!$C$29))</f>
        <v>1</v>
      </c>
      <c r="AX10" s="31" t="n">
        <f aca="false">IF(AX4&lt;Assumptions!$E$7,0,MIN(1,(AX4-Assumptions!$E$7+1)/Assumptions!$C$29))</f>
        <v>1</v>
      </c>
      <c r="AY10" s="31" t="n">
        <f aca="false">IF(AY4&lt;Assumptions!$E$7,0,MIN(1,(AY4-Assumptions!$E$7+1)/Assumptions!$C$29))</f>
        <v>1</v>
      </c>
      <c r="AZ10" s="31" t="n">
        <f aca="false">IF(AZ4&lt;Assumptions!$E$7,0,MIN(1,(AZ4-Assumptions!$E$7+1)/Assumptions!$C$29))</f>
        <v>1</v>
      </c>
      <c r="BA10" s="31" t="n">
        <f aca="false">IF(BA4&lt;Assumptions!$E$7,0,MIN(1,(BA4-Assumptions!$E$7+1)/Assumptions!$C$29))</f>
        <v>1</v>
      </c>
      <c r="BB10" s="31" t="n">
        <f aca="false">IF(BB4&lt;Assumptions!$E$7,0,MIN(1,(BB4-Assumptions!$E$7+1)/Assumptions!$C$29))</f>
        <v>1</v>
      </c>
      <c r="BC10" s="31" t="n">
        <f aca="false">IF(BC4&lt;Assumptions!$E$7,0,MIN(1,(BC4-Assumptions!$E$7+1)/Assumptions!$C$29))</f>
        <v>1</v>
      </c>
      <c r="BD10" s="31" t="n">
        <f aca="false">IF(BD4&lt;Assumptions!$E$7,0,MIN(1,(BD4-Assumptions!$E$7+1)/Assumptions!$C$29))</f>
        <v>1</v>
      </c>
      <c r="BE10" s="31" t="n">
        <f aca="false">IF(BE4&lt;Assumptions!$E$7,0,MIN(1,(BE4-Assumptions!$E$7+1)/Assumptions!$C$29))</f>
        <v>1</v>
      </c>
      <c r="BF10" s="31" t="n">
        <f aca="false">IF(BF4&lt;Assumptions!$E$7,0,MIN(1,(BF4-Assumptions!$E$7+1)/Assumptions!$C$29))</f>
        <v>1</v>
      </c>
      <c r="BG10" s="31" t="n">
        <f aca="false">IF(BG4&lt;Assumptions!$E$7,0,MIN(1,(BG4-Assumptions!$E$7+1)/Assumptions!$C$29))</f>
        <v>1</v>
      </c>
      <c r="BH10" s="31" t="n">
        <f aca="false">IF(BH4&lt;Assumptions!$E$7,0,MIN(1,(BH4-Assumptions!$E$7+1)/Assumptions!$C$29))</f>
        <v>1</v>
      </c>
      <c r="BI10" s="31" t="n">
        <f aca="false">IF(BI4&lt;Assumptions!$E$7,0,MIN(1,(BI4-Assumptions!$E$7+1)/Assumptions!$C$29))</f>
        <v>1</v>
      </c>
      <c r="BJ10" s="31" t="n">
        <f aca="false">IF(BJ4&lt;Assumptions!$E$7,0,MIN(1,(BJ4-Assumptions!$E$7+1)/Assumptions!$C$29))</f>
        <v>1</v>
      </c>
    </row>
    <row r="11" customFormat="false" ht="15" hidden="false" customHeight="false" outlineLevel="0" collapsed="false">
      <c r="A11" s="5" t="s">
        <v>46</v>
      </c>
      <c r="C11" s="31" t="n">
        <f aca="false">IF(C4&lt;Assumptions!$E$8,0,MIN(1,(C4-Assumptions!$E$8+1)/Assumptions!$C$29))</f>
        <v>0</v>
      </c>
      <c r="D11" s="31" t="n">
        <f aca="false">IF(D4&lt;Assumptions!$E$8,0,MIN(1,(D4-Assumptions!$E$8+1)/Assumptions!$C$29))</f>
        <v>0</v>
      </c>
      <c r="E11" s="31" t="n">
        <f aca="false">IF(E4&lt;Assumptions!$E$8,0,MIN(1,(E4-Assumptions!$E$8+1)/Assumptions!$C$29))</f>
        <v>0</v>
      </c>
      <c r="F11" s="31" t="n">
        <f aca="false">IF(F4&lt;Assumptions!$E$8,0,MIN(1,(F4-Assumptions!$E$8+1)/Assumptions!$C$29))</f>
        <v>0</v>
      </c>
      <c r="G11" s="31" t="n">
        <f aca="false">IF(G4&lt;Assumptions!$E$8,0,MIN(1,(G4-Assumptions!$E$8+1)/Assumptions!$C$29))</f>
        <v>0</v>
      </c>
      <c r="H11" s="31" t="n">
        <f aca="false">IF(H4&lt;Assumptions!$E$8,0,MIN(1,(H4-Assumptions!$E$8+1)/Assumptions!$C$29))</f>
        <v>0</v>
      </c>
      <c r="I11" s="31" t="n">
        <f aca="false">IF(I4&lt;Assumptions!$E$8,0,MIN(1,(I4-Assumptions!$E$8+1)/Assumptions!$C$29))</f>
        <v>0.0666666666666667</v>
      </c>
      <c r="J11" s="31" t="n">
        <f aca="false">IF(J4&lt;Assumptions!$E$8,0,MIN(1,(J4-Assumptions!$E$8+1)/Assumptions!$C$29))</f>
        <v>0.133333333333333</v>
      </c>
      <c r="K11" s="31" t="n">
        <f aca="false">IF(K4&lt;Assumptions!$E$8,0,MIN(1,(K4-Assumptions!$E$8+1)/Assumptions!$C$29))</f>
        <v>0.2</v>
      </c>
      <c r="L11" s="31" t="n">
        <f aca="false">IF(L4&lt;Assumptions!$E$8,0,MIN(1,(L4-Assumptions!$E$8+1)/Assumptions!$C$29))</f>
        <v>0.266666666666667</v>
      </c>
      <c r="M11" s="31" t="n">
        <f aca="false">IF(M4&lt;Assumptions!$E$8,0,MIN(1,(M4-Assumptions!$E$8+1)/Assumptions!$C$29))</f>
        <v>0.333333333333333</v>
      </c>
      <c r="N11" s="31" t="n">
        <f aca="false">IF(N4&lt;Assumptions!$E$8,0,MIN(1,(N4-Assumptions!$E$8+1)/Assumptions!$C$29))</f>
        <v>0.4</v>
      </c>
      <c r="O11" s="31" t="n">
        <f aca="false">IF(O4&lt;Assumptions!$E$8,0,MIN(1,(O4-Assumptions!$E$8+1)/Assumptions!$C$29))</f>
        <v>0.466666666666667</v>
      </c>
      <c r="P11" s="31" t="n">
        <f aca="false">IF(P4&lt;Assumptions!$E$8,0,MIN(1,(P4-Assumptions!$E$8+1)/Assumptions!$C$29))</f>
        <v>0.533333333333333</v>
      </c>
      <c r="Q11" s="31" t="n">
        <f aca="false">IF(Q4&lt;Assumptions!$E$8,0,MIN(1,(Q4-Assumptions!$E$8+1)/Assumptions!$C$29))</f>
        <v>0.6</v>
      </c>
      <c r="R11" s="31" t="n">
        <f aca="false">IF(R4&lt;Assumptions!$E$8,0,MIN(1,(R4-Assumptions!$E$8+1)/Assumptions!$C$29))</f>
        <v>0.666666666666667</v>
      </c>
      <c r="S11" s="31" t="n">
        <f aca="false">IF(S4&lt;Assumptions!$E$8,0,MIN(1,(S4-Assumptions!$E$8+1)/Assumptions!$C$29))</f>
        <v>0.733333333333333</v>
      </c>
      <c r="T11" s="31" t="n">
        <f aca="false">IF(T4&lt;Assumptions!$E$8,0,MIN(1,(T4-Assumptions!$E$8+1)/Assumptions!$C$29))</f>
        <v>0.8</v>
      </c>
      <c r="U11" s="31" t="n">
        <f aca="false">IF(U4&lt;Assumptions!$E$8,0,MIN(1,(U4-Assumptions!$E$8+1)/Assumptions!$C$29))</f>
        <v>0.866666666666667</v>
      </c>
      <c r="V11" s="31" t="n">
        <f aca="false">IF(V4&lt;Assumptions!$E$8,0,MIN(1,(V4-Assumptions!$E$8+1)/Assumptions!$C$29))</f>
        <v>0.933333333333333</v>
      </c>
      <c r="W11" s="31" t="n">
        <f aca="false">IF(W4&lt;Assumptions!$E$8,0,MIN(1,(W4-Assumptions!$E$8+1)/Assumptions!$C$29))</f>
        <v>1</v>
      </c>
      <c r="X11" s="31" t="n">
        <f aca="false">IF(X4&lt;Assumptions!$E$8,0,MIN(1,(X4-Assumptions!$E$8+1)/Assumptions!$C$29))</f>
        <v>1</v>
      </c>
      <c r="Y11" s="31" t="n">
        <f aca="false">IF(Y4&lt;Assumptions!$E$8,0,MIN(1,(Y4-Assumptions!$E$8+1)/Assumptions!$C$29))</f>
        <v>1</v>
      </c>
      <c r="Z11" s="31" t="n">
        <f aca="false">IF(Z4&lt;Assumptions!$E$8,0,MIN(1,(Z4-Assumptions!$E$8+1)/Assumptions!$C$29))</f>
        <v>1</v>
      </c>
      <c r="AA11" s="31" t="n">
        <f aca="false">IF(AA4&lt;Assumptions!$E$8,0,MIN(1,(AA4-Assumptions!$E$8+1)/Assumptions!$C$29))</f>
        <v>1</v>
      </c>
      <c r="AB11" s="31" t="n">
        <f aca="false">IF(AB4&lt;Assumptions!$E$8,0,MIN(1,(AB4-Assumptions!$E$8+1)/Assumptions!$C$29))</f>
        <v>1</v>
      </c>
      <c r="AC11" s="31" t="n">
        <f aca="false">IF(AC4&lt;Assumptions!$E$8,0,MIN(1,(AC4-Assumptions!$E$8+1)/Assumptions!$C$29))</f>
        <v>1</v>
      </c>
      <c r="AD11" s="31" t="n">
        <f aca="false">IF(AD4&lt;Assumptions!$E$8,0,MIN(1,(AD4-Assumptions!$E$8+1)/Assumptions!$C$29))</f>
        <v>1</v>
      </c>
      <c r="AE11" s="31" t="n">
        <f aca="false">IF(AE4&lt;Assumptions!$E$8,0,MIN(1,(AE4-Assumptions!$E$8+1)/Assumptions!$C$29))</f>
        <v>1</v>
      </c>
      <c r="AF11" s="31" t="n">
        <f aca="false">IF(AF4&lt;Assumptions!$E$8,0,MIN(1,(AF4-Assumptions!$E$8+1)/Assumptions!$C$29))</f>
        <v>1</v>
      </c>
      <c r="AG11" s="31" t="n">
        <f aca="false">IF(AG4&lt;Assumptions!$E$8,0,MIN(1,(AG4-Assumptions!$E$8+1)/Assumptions!$C$29))</f>
        <v>1</v>
      </c>
      <c r="AH11" s="31" t="n">
        <f aca="false">IF(AH4&lt;Assumptions!$E$8,0,MIN(1,(AH4-Assumptions!$E$8+1)/Assumptions!$C$29))</f>
        <v>1</v>
      </c>
      <c r="AI11" s="31" t="n">
        <f aca="false">IF(AI4&lt;Assumptions!$E$8,0,MIN(1,(AI4-Assumptions!$E$8+1)/Assumptions!$C$29))</f>
        <v>1</v>
      </c>
      <c r="AJ11" s="31" t="n">
        <f aca="false">IF(AJ4&lt;Assumptions!$E$8,0,MIN(1,(AJ4-Assumptions!$E$8+1)/Assumptions!$C$29))</f>
        <v>1</v>
      </c>
      <c r="AK11" s="31" t="n">
        <f aca="false">IF(AK4&lt;Assumptions!$E$8,0,MIN(1,(AK4-Assumptions!$E$8+1)/Assumptions!$C$29))</f>
        <v>1</v>
      </c>
      <c r="AL11" s="31" t="n">
        <f aca="false">IF(AL4&lt;Assumptions!$E$8,0,MIN(1,(AL4-Assumptions!$E$8+1)/Assumptions!$C$29))</f>
        <v>1</v>
      </c>
      <c r="AM11" s="31" t="n">
        <f aca="false">IF(AM4&lt;Assumptions!$E$8,0,MIN(1,(AM4-Assumptions!$E$8+1)/Assumptions!$C$29))</f>
        <v>1</v>
      </c>
      <c r="AN11" s="31" t="n">
        <f aca="false">IF(AN4&lt;Assumptions!$E$8,0,MIN(1,(AN4-Assumptions!$E$8+1)/Assumptions!$C$29))</f>
        <v>1</v>
      </c>
      <c r="AO11" s="31" t="n">
        <f aca="false">IF(AO4&lt;Assumptions!$E$8,0,MIN(1,(AO4-Assumptions!$E$8+1)/Assumptions!$C$29))</f>
        <v>1</v>
      </c>
      <c r="AP11" s="31" t="n">
        <f aca="false">IF(AP4&lt;Assumptions!$E$8,0,MIN(1,(AP4-Assumptions!$E$8+1)/Assumptions!$C$29))</f>
        <v>1</v>
      </c>
      <c r="AQ11" s="31" t="n">
        <f aca="false">IF(AQ4&lt;Assumptions!$E$8,0,MIN(1,(AQ4-Assumptions!$E$8+1)/Assumptions!$C$29))</f>
        <v>1</v>
      </c>
      <c r="AR11" s="31" t="n">
        <f aca="false">IF(AR4&lt;Assumptions!$E$8,0,MIN(1,(AR4-Assumptions!$E$8+1)/Assumptions!$C$29))</f>
        <v>1</v>
      </c>
      <c r="AS11" s="31" t="n">
        <f aca="false">IF(AS4&lt;Assumptions!$E$8,0,MIN(1,(AS4-Assumptions!$E$8+1)/Assumptions!$C$29))</f>
        <v>1</v>
      </c>
      <c r="AT11" s="31" t="n">
        <f aca="false">IF(AT4&lt;Assumptions!$E$8,0,MIN(1,(AT4-Assumptions!$E$8+1)/Assumptions!$C$29))</f>
        <v>1</v>
      </c>
      <c r="AU11" s="31" t="n">
        <f aca="false">IF(AU4&lt;Assumptions!$E$8,0,MIN(1,(AU4-Assumptions!$E$8+1)/Assumptions!$C$29))</f>
        <v>1</v>
      </c>
      <c r="AV11" s="31" t="n">
        <f aca="false">IF(AV4&lt;Assumptions!$E$8,0,MIN(1,(AV4-Assumptions!$E$8+1)/Assumptions!$C$29))</f>
        <v>1</v>
      </c>
      <c r="AW11" s="31" t="n">
        <f aca="false">IF(AW4&lt;Assumptions!$E$8,0,MIN(1,(AW4-Assumptions!$E$8+1)/Assumptions!$C$29))</f>
        <v>1</v>
      </c>
      <c r="AX11" s="31" t="n">
        <f aca="false">IF(AX4&lt;Assumptions!$E$8,0,MIN(1,(AX4-Assumptions!$E$8+1)/Assumptions!$C$29))</f>
        <v>1</v>
      </c>
      <c r="AY11" s="31" t="n">
        <f aca="false">IF(AY4&lt;Assumptions!$E$8,0,MIN(1,(AY4-Assumptions!$E$8+1)/Assumptions!$C$29))</f>
        <v>1</v>
      </c>
      <c r="AZ11" s="31" t="n">
        <f aca="false">IF(AZ4&lt;Assumptions!$E$8,0,MIN(1,(AZ4-Assumptions!$E$8+1)/Assumptions!$C$29))</f>
        <v>1</v>
      </c>
      <c r="BA11" s="31" t="n">
        <f aca="false">IF(BA4&lt;Assumptions!$E$8,0,MIN(1,(BA4-Assumptions!$E$8+1)/Assumptions!$C$29))</f>
        <v>1</v>
      </c>
      <c r="BB11" s="31" t="n">
        <f aca="false">IF(BB4&lt;Assumptions!$E$8,0,MIN(1,(BB4-Assumptions!$E$8+1)/Assumptions!$C$29))</f>
        <v>1</v>
      </c>
      <c r="BC11" s="31" t="n">
        <f aca="false">IF(BC4&lt;Assumptions!$E$8,0,MIN(1,(BC4-Assumptions!$E$8+1)/Assumptions!$C$29))</f>
        <v>1</v>
      </c>
      <c r="BD11" s="31" t="n">
        <f aca="false">IF(BD4&lt;Assumptions!$E$8,0,MIN(1,(BD4-Assumptions!$E$8+1)/Assumptions!$C$29))</f>
        <v>1</v>
      </c>
      <c r="BE11" s="31" t="n">
        <f aca="false">IF(BE4&lt;Assumptions!$E$8,0,MIN(1,(BE4-Assumptions!$E$8+1)/Assumptions!$C$29))</f>
        <v>1</v>
      </c>
      <c r="BF11" s="31" t="n">
        <f aca="false">IF(BF4&lt;Assumptions!$E$8,0,MIN(1,(BF4-Assumptions!$E$8+1)/Assumptions!$C$29))</f>
        <v>1</v>
      </c>
      <c r="BG11" s="31" t="n">
        <f aca="false">IF(BG4&lt;Assumptions!$E$8,0,MIN(1,(BG4-Assumptions!$E$8+1)/Assumptions!$C$29))</f>
        <v>1</v>
      </c>
      <c r="BH11" s="31" t="n">
        <f aca="false">IF(BH4&lt;Assumptions!$E$8,0,MIN(1,(BH4-Assumptions!$E$8+1)/Assumptions!$C$29))</f>
        <v>1</v>
      </c>
      <c r="BI11" s="31" t="n">
        <f aca="false">IF(BI4&lt;Assumptions!$E$8,0,MIN(1,(BI4-Assumptions!$E$8+1)/Assumptions!$C$29))</f>
        <v>1</v>
      </c>
      <c r="BJ11" s="31" t="n">
        <f aca="false">IF(BJ4&lt;Assumptions!$E$8,0,MIN(1,(BJ4-Assumptions!$E$8+1)/Assumptions!$C$29))</f>
        <v>1</v>
      </c>
    </row>
    <row r="12" customFormat="false" ht="15" hidden="false" customHeight="false" outlineLevel="0" collapsed="false">
      <c r="A12" s="5" t="s">
        <v>48</v>
      </c>
      <c r="C12" s="31" t="n">
        <f aca="false">IF(C4&lt;Assumptions!$E$9,0,MIN(1,(C4-Assumptions!$E$9+1)/Assumptions!$C$29))</f>
        <v>0</v>
      </c>
      <c r="D12" s="31" t="n">
        <f aca="false">IF(D4&lt;Assumptions!$E$9,0,MIN(1,(D4-Assumptions!$E$9+1)/Assumptions!$C$29))</f>
        <v>0</v>
      </c>
      <c r="E12" s="31" t="n">
        <f aca="false">IF(E4&lt;Assumptions!$E$9,0,MIN(1,(E4-Assumptions!$E$9+1)/Assumptions!$C$29))</f>
        <v>0</v>
      </c>
      <c r="F12" s="31" t="n">
        <f aca="false">IF(F4&lt;Assumptions!$E$9,0,MIN(1,(F4-Assumptions!$E$9+1)/Assumptions!$C$29))</f>
        <v>0</v>
      </c>
      <c r="G12" s="31" t="n">
        <f aca="false">IF(G4&lt;Assumptions!$E$9,0,MIN(1,(G4-Assumptions!$E$9+1)/Assumptions!$C$29))</f>
        <v>0</v>
      </c>
      <c r="H12" s="31" t="n">
        <f aca="false">IF(H4&lt;Assumptions!$E$9,0,MIN(1,(H4-Assumptions!$E$9+1)/Assumptions!$C$29))</f>
        <v>0</v>
      </c>
      <c r="I12" s="31" t="n">
        <f aca="false">IF(I4&lt;Assumptions!$E$9,0,MIN(1,(I4-Assumptions!$E$9+1)/Assumptions!$C$29))</f>
        <v>0</v>
      </c>
      <c r="J12" s="31" t="n">
        <f aca="false">IF(J4&lt;Assumptions!$E$9,0,MIN(1,(J4-Assumptions!$E$9+1)/Assumptions!$C$29))</f>
        <v>0</v>
      </c>
      <c r="K12" s="31" t="n">
        <f aca="false">IF(K4&lt;Assumptions!$E$9,0,MIN(1,(K4-Assumptions!$E$9+1)/Assumptions!$C$29))</f>
        <v>0</v>
      </c>
      <c r="L12" s="31" t="n">
        <f aca="false">IF(L4&lt;Assumptions!$E$9,0,MIN(1,(L4-Assumptions!$E$9+1)/Assumptions!$C$29))</f>
        <v>0</v>
      </c>
      <c r="M12" s="31" t="n">
        <f aca="false">IF(M4&lt;Assumptions!$E$9,0,MIN(1,(M4-Assumptions!$E$9+1)/Assumptions!$C$29))</f>
        <v>0</v>
      </c>
      <c r="N12" s="31" t="n">
        <f aca="false">IF(N4&lt;Assumptions!$E$9,0,MIN(1,(N4-Assumptions!$E$9+1)/Assumptions!$C$29))</f>
        <v>0</v>
      </c>
      <c r="O12" s="31" t="n">
        <f aca="false">IF(O4&lt;Assumptions!$E$9,0,MIN(1,(O4-Assumptions!$E$9+1)/Assumptions!$C$29))</f>
        <v>0</v>
      </c>
      <c r="P12" s="31" t="n">
        <f aca="false">IF(P4&lt;Assumptions!$E$9,0,MIN(1,(P4-Assumptions!$E$9+1)/Assumptions!$C$29))</f>
        <v>0</v>
      </c>
      <c r="Q12" s="31" t="n">
        <f aca="false">IF(Q4&lt;Assumptions!$E$9,0,MIN(1,(Q4-Assumptions!$E$9+1)/Assumptions!$C$29))</f>
        <v>0</v>
      </c>
      <c r="R12" s="31" t="n">
        <f aca="false">IF(R4&lt;Assumptions!$E$9,0,MIN(1,(R4-Assumptions!$E$9+1)/Assumptions!$C$29))</f>
        <v>0</v>
      </c>
      <c r="S12" s="31" t="n">
        <f aca="false">IF(S4&lt;Assumptions!$E$9,0,MIN(1,(S4-Assumptions!$E$9+1)/Assumptions!$C$29))</f>
        <v>0</v>
      </c>
      <c r="T12" s="31" t="n">
        <f aca="false">IF(T4&lt;Assumptions!$E$9,0,MIN(1,(T4-Assumptions!$E$9+1)/Assumptions!$C$29))</f>
        <v>0</v>
      </c>
      <c r="U12" s="31" t="n">
        <f aca="false">IF(U4&lt;Assumptions!$E$9,0,MIN(1,(U4-Assumptions!$E$9+1)/Assumptions!$C$29))</f>
        <v>0.0666666666666667</v>
      </c>
      <c r="V12" s="31" t="n">
        <f aca="false">IF(V4&lt;Assumptions!$E$9,0,MIN(1,(V4-Assumptions!$E$9+1)/Assumptions!$C$29))</f>
        <v>0.133333333333333</v>
      </c>
      <c r="W12" s="31" t="n">
        <f aca="false">IF(W4&lt;Assumptions!$E$9,0,MIN(1,(W4-Assumptions!$E$9+1)/Assumptions!$C$29))</f>
        <v>0.2</v>
      </c>
      <c r="X12" s="31" t="n">
        <f aca="false">IF(X4&lt;Assumptions!$E$9,0,MIN(1,(X4-Assumptions!$E$9+1)/Assumptions!$C$29))</f>
        <v>0.266666666666667</v>
      </c>
      <c r="Y12" s="31" t="n">
        <f aca="false">IF(Y4&lt;Assumptions!$E$9,0,MIN(1,(Y4-Assumptions!$E$9+1)/Assumptions!$C$29))</f>
        <v>0.333333333333333</v>
      </c>
      <c r="Z12" s="31" t="n">
        <f aca="false">IF(Z4&lt;Assumptions!$E$9,0,MIN(1,(Z4-Assumptions!$E$9+1)/Assumptions!$C$29))</f>
        <v>0.4</v>
      </c>
      <c r="AA12" s="31" t="n">
        <f aca="false">IF(AA4&lt;Assumptions!$E$9,0,MIN(1,(AA4-Assumptions!$E$9+1)/Assumptions!$C$29))</f>
        <v>0.466666666666667</v>
      </c>
      <c r="AB12" s="31" t="n">
        <f aca="false">IF(AB4&lt;Assumptions!$E$9,0,MIN(1,(AB4-Assumptions!$E$9+1)/Assumptions!$C$29))</f>
        <v>0.533333333333333</v>
      </c>
      <c r="AC12" s="31" t="n">
        <f aca="false">IF(AC4&lt;Assumptions!$E$9,0,MIN(1,(AC4-Assumptions!$E$9+1)/Assumptions!$C$29))</f>
        <v>0.6</v>
      </c>
      <c r="AD12" s="31" t="n">
        <f aca="false">IF(AD4&lt;Assumptions!$E$9,0,MIN(1,(AD4-Assumptions!$E$9+1)/Assumptions!$C$29))</f>
        <v>0.666666666666667</v>
      </c>
      <c r="AE12" s="31" t="n">
        <f aca="false">IF(AE4&lt;Assumptions!$E$9,0,MIN(1,(AE4-Assumptions!$E$9+1)/Assumptions!$C$29))</f>
        <v>0.733333333333333</v>
      </c>
      <c r="AF12" s="31" t="n">
        <f aca="false">IF(AF4&lt;Assumptions!$E$9,0,MIN(1,(AF4-Assumptions!$E$9+1)/Assumptions!$C$29))</f>
        <v>0.8</v>
      </c>
      <c r="AG12" s="31" t="n">
        <f aca="false">IF(AG4&lt;Assumptions!$E$9,0,MIN(1,(AG4-Assumptions!$E$9+1)/Assumptions!$C$29))</f>
        <v>0.866666666666667</v>
      </c>
      <c r="AH12" s="31" t="n">
        <f aca="false">IF(AH4&lt;Assumptions!$E$9,0,MIN(1,(AH4-Assumptions!$E$9+1)/Assumptions!$C$29))</f>
        <v>0.933333333333333</v>
      </c>
      <c r="AI12" s="31" t="n">
        <f aca="false">IF(AI4&lt;Assumptions!$E$9,0,MIN(1,(AI4-Assumptions!$E$9+1)/Assumptions!$C$29))</f>
        <v>1</v>
      </c>
      <c r="AJ12" s="31" t="n">
        <f aca="false">IF(AJ4&lt;Assumptions!$E$9,0,MIN(1,(AJ4-Assumptions!$E$9+1)/Assumptions!$C$29))</f>
        <v>1</v>
      </c>
      <c r="AK12" s="31" t="n">
        <f aca="false">IF(AK4&lt;Assumptions!$E$9,0,MIN(1,(AK4-Assumptions!$E$9+1)/Assumptions!$C$29))</f>
        <v>1</v>
      </c>
      <c r="AL12" s="31" t="n">
        <f aca="false">IF(AL4&lt;Assumptions!$E$9,0,MIN(1,(AL4-Assumptions!$E$9+1)/Assumptions!$C$29))</f>
        <v>1</v>
      </c>
      <c r="AM12" s="31" t="n">
        <f aca="false">IF(AM4&lt;Assumptions!$E$9,0,MIN(1,(AM4-Assumptions!$E$9+1)/Assumptions!$C$29))</f>
        <v>1</v>
      </c>
      <c r="AN12" s="31" t="n">
        <f aca="false">IF(AN4&lt;Assumptions!$E$9,0,MIN(1,(AN4-Assumptions!$E$9+1)/Assumptions!$C$29))</f>
        <v>1</v>
      </c>
      <c r="AO12" s="31" t="n">
        <f aca="false">IF(AO4&lt;Assumptions!$E$9,0,MIN(1,(AO4-Assumptions!$E$9+1)/Assumptions!$C$29))</f>
        <v>1</v>
      </c>
      <c r="AP12" s="31" t="n">
        <f aca="false">IF(AP4&lt;Assumptions!$E$9,0,MIN(1,(AP4-Assumptions!$E$9+1)/Assumptions!$C$29))</f>
        <v>1</v>
      </c>
      <c r="AQ12" s="31" t="n">
        <f aca="false">IF(AQ4&lt;Assumptions!$E$9,0,MIN(1,(AQ4-Assumptions!$E$9+1)/Assumptions!$C$29))</f>
        <v>1</v>
      </c>
      <c r="AR12" s="31" t="n">
        <f aca="false">IF(AR4&lt;Assumptions!$E$9,0,MIN(1,(AR4-Assumptions!$E$9+1)/Assumptions!$C$29))</f>
        <v>1</v>
      </c>
      <c r="AS12" s="31" t="n">
        <f aca="false">IF(AS4&lt;Assumptions!$E$9,0,MIN(1,(AS4-Assumptions!$E$9+1)/Assumptions!$C$29))</f>
        <v>1</v>
      </c>
      <c r="AT12" s="31" t="n">
        <f aca="false">IF(AT4&lt;Assumptions!$E$9,0,MIN(1,(AT4-Assumptions!$E$9+1)/Assumptions!$C$29))</f>
        <v>1</v>
      </c>
      <c r="AU12" s="31" t="n">
        <f aca="false">IF(AU4&lt;Assumptions!$E$9,0,MIN(1,(AU4-Assumptions!$E$9+1)/Assumptions!$C$29))</f>
        <v>1</v>
      </c>
      <c r="AV12" s="31" t="n">
        <f aca="false">IF(AV4&lt;Assumptions!$E$9,0,MIN(1,(AV4-Assumptions!$E$9+1)/Assumptions!$C$29))</f>
        <v>1</v>
      </c>
      <c r="AW12" s="31" t="n">
        <f aca="false">IF(AW4&lt;Assumptions!$E$9,0,MIN(1,(AW4-Assumptions!$E$9+1)/Assumptions!$C$29))</f>
        <v>1</v>
      </c>
      <c r="AX12" s="31" t="n">
        <f aca="false">IF(AX4&lt;Assumptions!$E$9,0,MIN(1,(AX4-Assumptions!$E$9+1)/Assumptions!$C$29))</f>
        <v>1</v>
      </c>
      <c r="AY12" s="31" t="n">
        <f aca="false">IF(AY4&lt;Assumptions!$E$9,0,MIN(1,(AY4-Assumptions!$E$9+1)/Assumptions!$C$29))</f>
        <v>1</v>
      </c>
      <c r="AZ12" s="31" t="n">
        <f aca="false">IF(AZ4&lt;Assumptions!$E$9,0,MIN(1,(AZ4-Assumptions!$E$9+1)/Assumptions!$C$29))</f>
        <v>1</v>
      </c>
      <c r="BA12" s="31" t="n">
        <f aca="false">IF(BA4&lt;Assumptions!$E$9,0,MIN(1,(BA4-Assumptions!$E$9+1)/Assumptions!$C$29))</f>
        <v>1</v>
      </c>
      <c r="BB12" s="31" t="n">
        <f aca="false">IF(BB4&lt;Assumptions!$E$9,0,MIN(1,(BB4-Assumptions!$E$9+1)/Assumptions!$C$29))</f>
        <v>1</v>
      </c>
      <c r="BC12" s="31" t="n">
        <f aca="false">IF(BC4&lt;Assumptions!$E$9,0,MIN(1,(BC4-Assumptions!$E$9+1)/Assumptions!$C$29))</f>
        <v>1</v>
      </c>
      <c r="BD12" s="31" t="n">
        <f aca="false">IF(BD4&lt;Assumptions!$E$9,0,MIN(1,(BD4-Assumptions!$E$9+1)/Assumptions!$C$29))</f>
        <v>1</v>
      </c>
      <c r="BE12" s="31" t="n">
        <f aca="false">IF(BE4&lt;Assumptions!$E$9,0,MIN(1,(BE4-Assumptions!$E$9+1)/Assumptions!$C$29))</f>
        <v>1</v>
      </c>
      <c r="BF12" s="31" t="n">
        <f aca="false">IF(BF4&lt;Assumptions!$E$9,0,MIN(1,(BF4-Assumptions!$E$9+1)/Assumptions!$C$29))</f>
        <v>1</v>
      </c>
      <c r="BG12" s="31" t="n">
        <f aca="false">IF(BG4&lt;Assumptions!$E$9,0,MIN(1,(BG4-Assumptions!$E$9+1)/Assumptions!$C$29))</f>
        <v>1</v>
      </c>
      <c r="BH12" s="31" t="n">
        <f aca="false">IF(BH4&lt;Assumptions!$E$9,0,MIN(1,(BH4-Assumptions!$E$9+1)/Assumptions!$C$29))</f>
        <v>1</v>
      </c>
      <c r="BI12" s="31" t="n">
        <f aca="false">IF(BI4&lt;Assumptions!$E$9,0,MIN(1,(BI4-Assumptions!$E$9+1)/Assumptions!$C$29))</f>
        <v>1</v>
      </c>
      <c r="BJ12" s="31" t="n">
        <f aca="false">IF(BJ4&lt;Assumptions!$E$9,0,MIN(1,(BJ4-Assumptions!$E$9+1)/Assumptions!$C$29))</f>
        <v>1</v>
      </c>
    </row>
    <row r="13" customFormat="false" ht="15" hidden="false" customHeight="false" outlineLevel="0" collapsed="false">
      <c r="A13" s="5" t="s">
        <v>50</v>
      </c>
      <c r="C13" s="31" t="n">
        <f aca="false">IF(C4&lt;Assumptions!$E$10,0,MIN(1,(C4-Assumptions!$E$10+1)/Assumptions!$C$29))</f>
        <v>0</v>
      </c>
      <c r="D13" s="31" t="n">
        <f aca="false">IF(D4&lt;Assumptions!$E$10,0,MIN(1,(D4-Assumptions!$E$10+1)/Assumptions!$C$29))</f>
        <v>0</v>
      </c>
      <c r="E13" s="31" t="n">
        <f aca="false">IF(E4&lt;Assumptions!$E$10,0,MIN(1,(E4-Assumptions!$E$10+1)/Assumptions!$C$29))</f>
        <v>0</v>
      </c>
      <c r="F13" s="31" t="n">
        <f aca="false">IF(F4&lt;Assumptions!$E$10,0,MIN(1,(F4-Assumptions!$E$10+1)/Assumptions!$C$29))</f>
        <v>0</v>
      </c>
      <c r="G13" s="31" t="n">
        <f aca="false">IF(G4&lt;Assumptions!$E$10,0,MIN(1,(G4-Assumptions!$E$10+1)/Assumptions!$C$29))</f>
        <v>0</v>
      </c>
      <c r="H13" s="31" t="n">
        <f aca="false">IF(H4&lt;Assumptions!$E$10,0,MIN(1,(H4-Assumptions!$E$10+1)/Assumptions!$C$29))</f>
        <v>0</v>
      </c>
      <c r="I13" s="31" t="n">
        <f aca="false">IF(I4&lt;Assumptions!$E$10,0,MIN(1,(I4-Assumptions!$E$10+1)/Assumptions!$C$29))</f>
        <v>0</v>
      </c>
      <c r="J13" s="31" t="n">
        <f aca="false">IF(J4&lt;Assumptions!$E$10,0,MIN(1,(J4-Assumptions!$E$10+1)/Assumptions!$C$29))</f>
        <v>0</v>
      </c>
      <c r="K13" s="31" t="n">
        <f aca="false">IF(K4&lt;Assumptions!$E$10,0,MIN(1,(K4-Assumptions!$E$10+1)/Assumptions!$C$29))</f>
        <v>0</v>
      </c>
      <c r="L13" s="31" t="n">
        <f aca="false">IF(L4&lt;Assumptions!$E$10,0,MIN(1,(L4-Assumptions!$E$10+1)/Assumptions!$C$29))</f>
        <v>0</v>
      </c>
      <c r="M13" s="31" t="n">
        <f aca="false">IF(M4&lt;Assumptions!$E$10,0,MIN(1,(M4-Assumptions!$E$10+1)/Assumptions!$C$29))</f>
        <v>0</v>
      </c>
      <c r="N13" s="31" t="n">
        <f aca="false">IF(N4&lt;Assumptions!$E$10,0,MIN(1,(N4-Assumptions!$E$10+1)/Assumptions!$C$29))</f>
        <v>0</v>
      </c>
      <c r="O13" s="31" t="n">
        <f aca="false">IF(O4&lt;Assumptions!$E$10,0,MIN(1,(O4-Assumptions!$E$10+1)/Assumptions!$C$29))</f>
        <v>0</v>
      </c>
      <c r="P13" s="31" t="n">
        <f aca="false">IF(P4&lt;Assumptions!$E$10,0,MIN(1,(P4-Assumptions!$E$10+1)/Assumptions!$C$29))</f>
        <v>0</v>
      </c>
      <c r="Q13" s="31" t="n">
        <f aca="false">IF(Q4&lt;Assumptions!$E$10,0,MIN(1,(Q4-Assumptions!$E$10+1)/Assumptions!$C$29))</f>
        <v>0</v>
      </c>
      <c r="R13" s="31" t="n">
        <f aca="false">IF(R4&lt;Assumptions!$E$10,0,MIN(1,(R4-Assumptions!$E$10+1)/Assumptions!$C$29))</f>
        <v>0</v>
      </c>
      <c r="S13" s="31" t="n">
        <f aca="false">IF(S4&lt;Assumptions!$E$10,0,MIN(1,(S4-Assumptions!$E$10+1)/Assumptions!$C$29))</f>
        <v>0</v>
      </c>
      <c r="T13" s="31" t="n">
        <f aca="false">IF(T4&lt;Assumptions!$E$10,0,MIN(1,(T4-Assumptions!$E$10+1)/Assumptions!$C$29))</f>
        <v>0</v>
      </c>
      <c r="U13" s="31" t="n">
        <f aca="false">IF(U4&lt;Assumptions!$E$10,0,MIN(1,(U4-Assumptions!$E$10+1)/Assumptions!$C$29))</f>
        <v>0.0666666666666667</v>
      </c>
      <c r="V13" s="31" t="n">
        <f aca="false">IF(V4&lt;Assumptions!$E$10,0,MIN(1,(V4-Assumptions!$E$10+1)/Assumptions!$C$29))</f>
        <v>0.133333333333333</v>
      </c>
      <c r="W13" s="31" t="n">
        <f aca="false">IF(W4&lt;Assumptions!$E$10,0,MIN(1,(W4-Assumptions!$E$10+1)/Assumptions!$C$29))</f>
        <v>0.2</v>
      </c>
      <c r="X13" s="31" t="n">
        <f aca="false">IF(X4&lt;Assumptions!$E$10,0,MIN(1,(X4-Assumptions!$E$10+1)/Assumptions!$C$29))</f>
        <v>0.266666666666667</v>
      </c>
      <c r="Y13" s="31" t="n">
        <f aca="false">IF(Y4&lt;Assumptions!$E$10,0,MIN(1,(Y4-Assumptions!$E$10+1)/Assumptions!$C$29))</f>
        <v>0.333333333333333</v>
      </c>
      <c r="Z13" s="31" t="n">
        <f aca="false">IF(Z4&lt;Assumptions!$E$10,0,MIN(1,(Z4-Assumptions!$E$10+1)/Assumptions!$C$29))</f>
        <v>0.4</v>
      </c>
      <c r="AA13" s="31" t="n">
        <f aca="false">IF(AA4&lt;Assumptions!$E$10,0,MIN(1,(AA4-Assumptions!$E$10+1)/Assumptions!$C$29))</f>
        <v>0.466666666666667</v>
      </c>
      <c r="AB13" s="31" t="n">
        <f aca="false">IF(AB4&lt;Assumptions!$E$10,0,MIN(1,(AB4-Assumptions!$E$10+1)/Assumptions!$C$29))</f>
        <v>0.533333333333333</v>
      </c>
      <c r="AC13" s="31" t="n">
        <f aca="false">IF(AC4&lt;Assumptions!$E$10,0,MIN(1,(AC4-Assumptions!$E$10+1)/Assumptions!$C$29))</f>
        <v>0.6</v>
      </c>
      <c r="AD13" s="31" t="n">
        <f aca="false">IF(AD4&lt;Assumptions!$E$10,0,MIN(1,(AD4-Assumptions!$E$10+1)/Assumptions!$C$29))</f>
        <v>0.666666666666667</v>
      </c>
      <c r="AE13" s="31" t="n">
        <f aca="false">IF(AE4&lt;Assumptions!$E$10,0,MIN(1,(AE4-Assumptions!$E$10+1)/Assumptions!$C$29))</f>
        <v>0.733333333333333</v>
      </c>
      <c r="AF13" s="31" t="n">
        <f aca="false">IF(AF4&lt;Assumptions!$E$10,0,MIN(1,(AF4-Assumptions!$E$10+1)/Assumptions!$C$29))</f>
        <v>0.8</v>
      </c>
      <c r="AG13" s="31" t="n">
        <f aca="false">IF(AG4&lt;Assumptions!$E$10,0,MIN(1,(AG4-Assumptions!$E$10+1)/Assumptions!$C$29))</f>
        <v>0.866666666666667</v>
      </c>
      <c r="AH13" s="31" t="n">
        <f aca="false">IF(AH4&lt;Assumptions!$E$10,0,MIN(1,(AH4-Assumptions!$E$10+1)/Assumptions!$C$29))</f>
        <v>0.933333333333333</v>
      </c>
      <c r="AI13" s="31" t="n">
        <f aca="false">IF(AI4&lt;Assumptions!$E$10,0,MIN(1,(AI4-Assumptions!$E$10+1)/Assumptions!$C$29))</f>
        <v>1</v>
      </c>
      <c r="AJ13" s="31" t="n">
        <f aca="false">IF(AJ4&lt;Assumptions!$E$10,0,MIN(1,(AJ4-Assumptions!$E$10+1)/Assumptions!$C$29))</f>
        <v>1</v>
      </c>
      <c r="AK13" s="31" t="n">
        <f aca="false">IF(AK4&lt;Assumptions!$E$10,0,MIN(1,(AK4-Assumptions!$E$10+1)/Assumptions!$C$29))</f>
        <v>1</v>
      </c>
      <c r="AL13" s="31" t="n">
        <f aca="false">IF(AL4&lt;Assumptions!$E$10,0,MIN(1,(AL4-Assumptions!$E$10+1)/Assumptions!$C$29))</f>
        <v>1</v>
      </c>
      <c r="AM13" s="31" t="n">
        <f aca="false">IF(AM4&lt;Assumptions!$E$10,0,MIN(1,(AM4-Assumptions!$E$10+1)/Assumptions!$C$29))</f>
        <v>1</v>
      </c>
      <c r="AN13" s="31" t="n">
        <f aca="false">IF(AN4&lt;Assumptions!$E$10,0,MIN(1,(AN4-Assumptions!$E$10+1)/Assumptions!$C$29))</f>
        <v>1</v>
      </c>
      <c r="AO13" s="31" t="n">
        <f aca="false">IF(AO4&lt;Assumptions!$E$10,0,MIN(1,(AO4-Assumptions!$E$10+1)/Assumptions!$C$29))</f>
        <v>1</v>
      </c>
      <c r="AP13" s="31" t="n">
        <f aca="false">IF(AP4&lt;Assumptions!$E$10,0,MIN(1,(AP4-Assumptions!$E$10+1)/Assumptions!$C$29))</f>
        <v>1</v>
      </c>
      <c r="AQ13" s="31" t="n">
        <f aca="false">IF(AQ4&lt;Assumptions!$E$10,0,MIN(1,(AQ4-Assumptions!$E$10+1)/Assumptions!$C$29))</f>
        <v>1</v>
      </c>
      <c r="AR13" s="31" t="n">
        <f aca="false">IF(AR4&lt;Assumptions!$E$10,0,MIN(1,(AR4-Assumptions!$E$10+1)/Assumptions!$C$29))</f>
        <v>1</v>
      </c>
      <c r="AS13" s="31" t="n">
        <f aca="false">IF(AS4&lt;Assumptions!$E$10,0,MIN(1,(AS4-Assumptions!$E$10+1)/Assumptions!$C$29))</f>
        <v>1</v>
      </c>
      <c r="AT13" s="31" t="n">
        <f aca="false">IF(AT4&lt;Assumptions!$E$10,0,MIN(1,(AT4-Assumptions!$E$10+1)/Assumptions!$C$29))</f>
        <v>1</v>
      </c>
      <c r="AU13" s="31" t="n">
        <f aca="false">IF(AU4&lt;Assumptions!$E$10,0,MIN(1,(AU4-Assumptions!$E$10+1)/Assumptions!$C$29))</f>
        <v>1</v>
      </c>
      <c r="AV13" s="31" t="n">
        <f aca="false">IF(AV4&lt;Assumptions!$E$10,0,MIN(1,(AV4-Assumptions!$E$10+1)/Assumptions!$C$29))</f>
        <v>1</v>
      </c>
      <c r="AW13" s="31" t="n">
        <f aca="false">IF(AW4&lt;Assumptions!$E$10,0,MIN(1,(AW4-Assumptions!$E$10+1)/Assumptions!$C$29))</f>
        <v>1</v>
      </c>
      <c r="AX13" s="31" t="n">
        <f aca="false">IF(AX4&lt;Assumptions!$E$10,0,MIN(1,(AX4-Assumptions!$E$10+1)/Assumptions!$C$29))</f>
        <v>1</v>
      </c>
      <c r="AY13" s="31" t="n">
        <f aca="false">IF(AY4&lt;Assumptions!$E$10,0,MIN(1,(AY4-Assumptions!$E$10+1)/Assumptions!$C$29))</f>
        <v>1</v>
      </c>
      <c r="AZ13" s="31" t="n">
        <f aca="false">IF(AZ4&lt;Assumptions!$E$10,0,MIN(1,(AZ4-Assumptions!$E$10+1)/Assumptions!$C$29))</f>
        <v>1</v>
      </c>
      <c r="BA13" s="31" t="n">
        <f aca="false">IF(BA4&lt;Assumptions!$E$10,0,MIN(1,(BA4-Assumptions!$E$10+1)/Assumptions!$C$29))</f>
        <v>1</v>
      </c>
      <c r="BB13" s="31" t="n">
        <f aca="false">IF(BB4&lt;Assumptions!$E$10,0,MIN(1,(BB4-Assumptions!$E$10+1)/Assumptions!$C$29))</f>
        <v>1</v>
      </c>
      <c r="BC13" s="31" t="n">
        <f aca="false">IF(BC4&lt;Assumptions!$E$10,0,MIN(1,(BC4-Assumptions!$E$10+1)/Assumptions!$C$29))</f>
        <v>1</v>
      </c>
      <c r="BD13" s="31" t="n">
        <f aca="false">IF(BD4&lt;Assumptions!$E$10,0,MIN(1,(BD4-Assumptions!$E$10+1)/Assumptions!$C$29))</f>
        <v>1</v>
      </c>
      <c r="BE13" s="31" t="n">
        <f aca="false">IF(BE4&lt;Assumptions!$E$10,0,MIN(1,(BE4-Assumptions!$E$10+1)/Assumptions!$C$29))</f>
        <v>1</v>
      </c>
      <c r="BF13" s="31" t="n">
        <f aca="false">IF(BF4&lt;Assumptions!$E$10,0,MIN(1,(BF4-Assumptions!$E$10+1)/Assumptions!$C$29))</f>
        <v>1</v>
      </c>
      <c r="BG13" s="31" t="n">
        <f aca="false">IF(BG4&lt;Assumptions!$E$10,0,MIN(1,(BG4-Assumptions!$E$10+1)/Assumptions!$C$29))</f>
        <v>1</v>
      </c>
      <c r="BH13" s="31" t="n">
        <f aca="false">IF(BH4&lt;Assumptions!$E$10,0,MIN(1,(BH4-Assumptions!$E$10+1)/Assumptions!$C$29))</f>
        <v>1</v>
      </c>
      <c r="BI13" s="31" t="n">
        <f aca="false">IF(BI4&lt;Assumptions!$E$10,0,MIN(1,(BI4-Assumptions!$E$10+1)/Assumptions!$C$29))</f>
        <v>1</v>
      </c>
      <c r="BJ13" s="31" t="n">
        <f aca="false">IF(BJ4&lt;Assumptions!$E$10,0,MIN(1,(BJ4-Assumptions!$E$10+1)/Assumptions!$C$29))</f>
        <v>1</v>
      </c>
    </row>
    <row r="15" customFormat="false" ht="15" hidden="false" customHeight="false" outlineLevel="0" collapsed="false">
      <c r="A15" s="10" t="s">
        <v>118</v>
      </c>
    </row>
    <row r="16" customFormat="false" ht="15" hidden="false" customHeight="false" outlineLevel="0" collapsed="false">
      <c r="A16" s="5" t="s">
        <v>42</v>
      </c>
      <c r="C16" s="32" t="n">
        <f aca="false">Assumptions!$D$6*Assumptions!$F$6*C9</f>
        <v>0.924854</v>
      </c>
      <c r="D16" s="32" t="n">
        <f aca="false">Assumptions!$D$6*Assumptions!$F$6*D9</f>
        <v>1.849708</v>
      </c>
      <c r="E16" s="32" t="n">
        <f aca="false">Assumptions!$D$6*Assumptions!$F$6*E9</f>
        <v>2.774562</v>
      </c>
      <c r="F16" s="32" t="n">
        <f aca="false">Assumptions!$D$6*Assumptions!$F$6*F9</f>
        <v>3.699416</v>
      </c>
      <c r="G16" s="32" t="n">
        <f aca="false">Assumptions!$D$6*Assumptions!$F$6*G9</f>
        <v>4.62427</v>
      </c>
      <c r="H16" s="32" t="n">
        <f aca="false">Assumptions!$D$6*Assumptions!$F$6*H9</f>
        <v>5.549124</v>
      </c>
      <c r="I16" s="32" t="n">
        <f aca="false">Assumptions!$D$6*Assumptions!$F$6*I9</f>
        <v>6.473978</v>
      </c>
      <c r="J16" s="32" t="n">
        <f aca="false">Assumptions!$D$6*Assumptions!$F$6*J9</f>
        <v>7.398832</v>
      </c>
      <c r="K16" s="32" t="n">
        <f aca="false">Assumptions!$D$6*Assumptions!$F$6*K9</f>
        <v>8.323686</v>
      </c>
      <c r="L16" s="32" t="n">
        <f aca="false">Assumptions!$D$6*Assumptions!$F$6*L9</f>
        <v>9.24854</v>
      </c>
      <c r="M16" s="32" t="n">
        <f aca="false">Assumptions!$D$6*Assumptions!$F$6*M9</f>
        <v>10.173394</v>
      </c>
      <c r="N16" s="32" t="n">
        <f aca="false">Assumptions!$D$6*Assumptions!$F$6*N9</f>
        <v>11.098248</v>
      </c>
      <c r="O16" s="32" t="n">
        <f aca="false">Assumptions!$D$6*Assumptions!$F$6*O9</f>
        <v>12.023102</v>
      </c>
      <c r="P16" s="32" t="n">
        <f aca="false">Assumptions!$D$6*Assumptions!$F$6*P9</f>
        <v>12.947956</v>
      </c>
      <c r="Q16" s="32" t="n">
        <f aca="false">Assumptions!$D$6*Assumptions!$F$6*Q9</f>
        <v>13.87281</v>
      </c>
      <c r="R16" s="32" t="n">
        <f aca="false">Assumptions!$D$6*Assumptions!$F$6*R9</f>
        <v>13.87281</v>
      </c>
      <c r="S16" s="32" t="n">
        <f aca="false">Assumptions!$D$6*Assumptions!$F$6*S9</f>
        <v>13.87281</v>
      </c>
      <c r="T16" s="32" t="n">
        <f aca="false">Assumptions!$D$6*Assumptions!$F$6*T9</f>
        <v>13.87281</v>
      </c>
      <c r="U16" s="32" t="n">
        <f aca="false">Assumptions!$D$6*Assumptions!$F$6*U9</f>
        <v>13.87281</v>
      </c>
      <c r="V16" s="32" t="n">
        <f aca="false">Assumptions!$D$6*Assumptions!$F$6*V9</f>
        <v>13.87281</v>
      </c>
      <c r="W16" s="32" t="n">
        <f aca="false">Assumptions!$D$6*Assumptions!$F$6*W9</f>
        <v>13.87281</v>
      </c>
      <c r="X16" s="32" t="n">
        <f aca="false">Assumptions!$D$6*Assumptions!$F$6*X9</f>
        <v>13.87281</v>
      </c>
      <c r="Y16" s="32" t="n">
        <f aca="false">Assumptions!$D$6*Assumptions!$F$6*Y9</f>
        <v>13.87281</v>
      </c>
      <c r="Z16" s="32" t="n">
        <f aca="false">Assumptions!$D$6*Assumptions!$F$6*Z9</f>
        <v>13.87281</v>
      </c>
      <c r="AA16" s="32" t="n">
        <f aca="false">Assumptions!$D$6*Assumptions!$F$6*AA9</f>
        <v>13.87281</v>
      </c>
      <c r="AB16" s="32" t="n">
        <f aca="false">Assumptions!$D$6*Assumptions!$F$6*AB9</f>
        <v>13.87281</v>
      </c>
      <c r="AC16" s="32" t="n">
        <f aca="false">Assumptions!$D$6*Assumptions!$F$6*AC9</f>
        <v>13.87281</v>
      </c>
      <c r="AD16" s="32" t="n">
        <f aca="false">Assumptions!$D$6*Assumptions!$F$6*AD9</f>
        <v>13.87281</v>
      </c>
      <c r="AE16" s="32" t="n">
        <f aca="false">Assumptions!$D$6*Assumptions!$F$6*AE9</f>
        <v>13.87281</v>
      </c>
      <c r="AF16" s="32" t="n">
        <f aca="false">Assumptions!$D$6*Assumptions!$F$6*AF9</f>
        <v>13.87281</v>
      </c>
      <c r="AG16" s="32" t="n">
        <f aca="false">Assumptions!$D$6*Assumptions!$F$6*AG9</f>
        <v>13.87281</v>
      </c>
      <c r="AH16" s="32" t="n">
        <f aca="false">Assumptions!$D$6*Assumptions!$F$6*AH9</f>
        <v>13.87281</v>
      </c>
      <c r="AI16" s="32" t="n">
        <f aca="false">Assumptions!$D$6*Assumptions!$F$6*AI9</f>
        <v>13.87281</v>
      </c>
      <c r="AJ16" s="32" t="n">
        <f aca="false">Assumptions!$D$6*Assumptions!$F$6*AJ9</f>
        <v>13.87281</v>
      </c>
      <c r="AK16" s="32" t="n">
        <f aca="false">Assumptions!$D$6*Assumptions!$F$6*AK9</f>
        <v>13.87281</v>
      </c>
      <c r="AL16" s="32" t="n">
        <f aca="false">Assumptions!$D$6*Assumptions!$F$6*AL9</f>
        <v>13.87281</v>
      </c>
      <c r="AM16" s="32" t="n">
        <f aca="false">Assumptions!$D$6*Assumptions!$F$6*AM9</f>
        <v>13.87281</v>
      </c>
      <c r="AN16" s="32" t="n">
        <f aca="false">Assumptions!$D$6*Assumptions!$F$6*AN9</f>
        <v>13.87281</v>
      </c>
      <c r="AO16" s="32" t="n">
        <f aca="false">Assumptions!$D$6*Assumptions!$F$6*AO9</f>
        <v>13.87281</v>
      </c>
      <c r="AP16" s="32" t="n">
        <f aca="false">Assumptions!$D$6*Assumptions!$F$6*AP9</f>
        <v>13.87281</v>
      </c>
      <c r="AQ16" s="32" t="n">
        <f aca="false">Assumptions!$D$6*Assumptions!$F$6*AQ9</f>
        <v>13.87281</v>
      </c>
      <c r="AR16" s="32" t="n">
        <f aca="false">Assumptions!$D$6*Assumptions!$F$6*AR9</f>
        <v>13.87281</v>
      </c>
      <c r="AS16" s="32" t="n">
        <f aca="false">Assumptions!$D$6*Assumptions!$F$6*AS9</f>
        <v>13.87281</v>
      </c>
      <c r="AT16" s="32" t="n">
        <f aca="false">Assumptions!$D$6*Assumptions!$F$6*AT9</f>
        <v>13.87281</v>
      </c>
      <c r="AU16" s="32" t="n">
        <f aca="false">Assumptions!$D$6*Assumptions!$F$6*AU9</f>
        <v>13.87281</v>
      </c>
      <c r="AV16" s="32" t="n">
        <f aca="false">Assumptions!$D$6*Assumptions!$F$6*AV9</f>
        <v>13.87281</v>
      </c>
      <c r="AW16" s="32" t="n">
        <f aca="false">Assumptions!$D$6*Assumptions!$F$6*AW9</f>
        <v>13.87281</v>
      </c>
      <c r="AX16" s="32" t="n">
        <f aca="false">Assumptions!$D$6*Assumptions!$F$6*AX9</f>
        <v>13.87281</v>
      </c>
      <c r="AY16" s="32" t="n">
        <f aca="false">Assumptions!$D$6*Assumptions!$F$6*AY9</f>
        <v>13.87281</v>
      </c>
      <c r="AZ16" s="32" t="n">
        <f aca="false">Assumptions!$D$6*Assumptions!$F$6*AZ9</f>
        <v>13.87281</v>
      </c>
      <c r="BA16" s="32" t="n">
        <f aca="false">Assumptions!$D$6*Assumptions!$F$6*BA9</f>
        <v>13.87281</v>
      </c>
      <c r="BB16" s="32" t="n">
        <f aca="false">Assumptions!$D$6*Assumptions!$F$6*BB9</f>
        <v>13.87281</v>
      </c>
      <c r="BC16" s="32" t="n">
        <f aca="false">Assumptions!$D$6*Assumptions!$F$6*BC9</f>
        <v>13.87281</v>
      </c>
      <c r="BD16" s="32" t="n">
        <f aca="false">Assumptions!$D$6*Assumptions!$F$6*BD9</f>
        <v>13.87281</v>
      </c>
      <c r="BE16" s="32" t="n">
        <f aca="false">Assumptions!$D$6*Assumptions!$F$6*BE9</f>
        <v>13.87281</v>
      </c>
      <c r="BF16" s="32" t="n">
        <f aca="false">Assumptions!$D$6*Assumptions!$F$6*BF9</f>
        <v>13.87281</v>
      </c>
      <c r="BG16" s="32" t="n">
        <f aca="false">Assumptions!$D$6*Assumptions!$F$6*BG9</f>
        <v>13.87281</v>
      </c>
      <c r="BH16" s="32" t="n">
        <f aca="false">Assumptions!$D$6*Assumptions!$F$6*BH9</f>
        <v>13.87281</v>
      </c>
      <c r="BI16" s="32" t="n">
        <f aca="false">Assumptions!$D$6*Assumptions!$F$6*BI9</f>
        <v>13.87281</v>
      </c>
      <c r="BJ16" s="32" t="n">
        <f aca="false">Assumptions!$D$6*Assumptions!$F$6*BJ9</f>
        <v>13.87281</v>
      </c>
    </row>
    <row r="17" customFormat="false" ht="15" hidden="false" customHeight="false" outlineLevel="0" collapsed="false">
      <c r="A17" s="5" t="s">
        <v>44</v>
      </c>
      <c r="C17" s="32" t="n">
        <f aca="false">Assumptions!$D$7*Assumptions!$F$7*C10</f>
        <v>0</v>
      </c>
      <c r="D17" s="32" t="n">
        <f aca="false">Assumptions!$D$7*Assumptions!$F$7*D10</f>
        <v>0</v>
      </c>
      <c r="E17" s="32" t="n">
        <f aca="false">Assumptions!$D$7*Assumptions!$F$7*E10</f>
        <v>0</v>
      </c>
      <c r="F17" s="32" t="n">
        <f aca="false">Assumptions!$D$7*Assumptions!$F$7*F10</f>
        <v>0</v>
      </c>
      <c r="G17" s="32" t="n">
        <f aca="false">Assumptions!$D$7*Assumptions!$F$7*G10</f>
        <v>0</v>
      </c>
      <c r="H17" s="32" t="n">
        <f aca="false">Assumptions!$D$7*Assumptions!$F$7*H10</f>
        <v>0</v>
      </c>
      <c r="I17" s="32" t="n">
        <f aca="false">Assumptions!$D$7*Assumptions!$F$7*I10</f>
        <v>0.208</v>
      </c>
      <c r="J17" s="32" t="n">
        <f aca="false">Assumptions!$D$7*Assumptions!$F$7*J10</f>
        <v>0.416</v>
      </c>
      <c r="K17" s="32" t="n">
        <f aca="false">Assumptions!$D$7*Assumptions!$F$7*K10</f>
        <v>0.624</v>
      </c>
      <c r="L17" s="32" t="n">
        <f aca="false">Assumptions!$D$7*Assumptions!$F$7*L10</f>
        <v>0.832</v>
      </c>
      <c r="M17" s="32" t="n">
        <f aca="false">Assumptions!$D$7*Assumptions!$F$7*M10</f>
        <v>1.04</v>
      </c>
      <c r="N17" s="32" t="n">
        <f aca="false">Assumptions!$D$7*Assumptions!$F$7*N10</f>
        <v>1.248</v>
      </c>
      <c r="O17" s="32" t="n">
        <f aca="false">Assumptions!$D$7*Assumptions!$F$7*O10</f>
        <v>1.456</v>
      </c>
      <c r="P17" s="32" t="n">
        <f aca="false">Assumptions!$D$7*Assumptions!$F$7*P10</f>
        <v>1.664</v>
      </c>
      <c r="Q17" s="32" t="n">
        <f aca="false">Assumptions!$D$7*Assumptions!$F$7*Q10</f>
        <v>1.872</v>
      </c>
      <c r="R17" s="32" t="n">
        <f aca="false">Assumptions!$D$7*Assumptions!$F$7*R10</f>
        <v>2.08</v>
      </c>
      <c r="S17" s="32" t="n">
        <f aca="false">Assumptions!$D$7*Assumptions!$F$7*S10</f>
        <v>2.288</v>
      </c>
      <c r="T17" s="32" t="n">
        <f aca="false">Assumptions!$D$7*Assumptions!$F$7*T10</f>
        <v>2.496</v>
      </c>
      <c r="U17" s="32" t="n">
        <f aca="false">Assumptions!$D$7*Assumptions!$F$7*U10</f>
        <v>2.704</v>
      </c>
      <c r="V17" s="32" t="n">
        <f aca="false">Assumptions!$D$7*Assumptions!$F$7*V10</f>
        <v>2.912</v>
      </c>
      <c r="W17" s="32" t="n">
        <f aca="false">Assumptions!$D$7*Assumptions!$F$7*W10</f>
        <v>3.12</v>
      </c>
      <c r="X17" s="32" t="n">
        <f aca="false">Assumptions!$D$7*Assumptions!$F$7*X10</f>
        <v>3.12</v>
      </c>
      <c r="Y17" s="32" t="n">
        <f aca="false">Assumptions!$D$7*Assumptions!$F$7*Y10</f>
        <v>3.12</v>
      </c>
      <c r="Z17" s="32" t="n">
        <f aca="false">Assumptions!$D$7*Assumptions!$F$7*Z10</f>
        <v>3.12</v>
      </c>
      <c r="AA17" s="32" t="n">
        <f aca="false">Assumptions!$D$7*Assumptions!$F$7*AA10</f>
        <v>3.12</v>
      </c>
      <c r="AB17" s="32" t="n">
        <f aca="false">Assumptions!$D$7*Assumptions!$F$7*AB10</f>
        <v>3.12</v>
      </c>
      <c r="AC17" s="32" t="n">
        <f aca="false">Assumptions!$D$7*Assumptions!$F$7*AC10</f>
        <v>3.12</v>
      </c>
      <c r="AD17" s="32" t="n">
        <f aca="false">Assumptions!$D$7*Assumptions!$F$7*AD10</f>
        <v>3.12</v>
      </c>
      <c r="AE17" s="32" t="n">
        <f aca="false">Assumptions!$D$7*Assumptions!$F$7*AE10</f>
        <v>3.12</v>
      </c>
      <c r="AF17" s="32" t="n">
        <f aca="false">Assumptions!$D$7*Assumptions!$F$7*AF10</f>
        <v>3.12</v>
      </c>
      <c r="AG17" s="32" t="n">
        <f aca="false">Assumptions!$D$7*Assumptions!$F$7*AG10</f>
        <v>3.12</v>
      </c>
      <c r="AH17" s="32" t="n">
        <f aca="false">Assumptions!$D$7*Assumptions!$F$7*AH10</f>
        <v>3.12</v>
      </c>
      <c r="AI17" s="32" t="n">
        <f aca="false">Assumptions!$D$7*Assumptions!$F$7*AI10</f>
        <v>3.12</v>
      </c>
      <c r="AJ17" s="32" t="n">
        <f aca="false">Assumptions!$D$7*Assumptions!$F$7*AJ10</f>
        <v>3.12</v>
      </c>
      <c r="AK17" s="32" t="n">
        <f aca="false">Assumptions!$D$7*Assumptions!$F$7*AK10</f>
        <v>3.12</v>
      </c>
      <c r="AL17" s="32" t="n">
        <f aca="false">Assumptions!$D$7*Assumptions!$F$7*AL10</f>
        <v>3.12</v>
      </c>
      <c r="AM17" s="32" t="n">
        <f aca="false">Assumptions!$D$7*Assumptions!$F$7*AM10</f>
        <v>3.12</v>
      </c>
      <c r="AN17" s="32" t="n">
        <f aca="false">Assumptions!$D$7*Assumptions!$F$7*AN10</f>
        <v>3.12</v>
      </c>
      <c r="AO17" s="32" t="n">
        <f aca="false">Assumptions!$D$7*Assumptions!$F$7*AO10</f>
        <v>3.12</v>
      </c>
      <c r="AP17" s="32" t="n">
        <f aca="false">Assumptions!$D$7*Assumptions!$F$7*AP10</f>
        <v>3.12</v>
      </c>
      <c r="AQ17" s="32" t="n">
        <f aca="false">Assumptions!$D$7*Assumptions!$F$7*AQ10</f>
        <v>3.12</v>
      </c>
      <c r="AR17" s="32" t="n">
        <f aca="false">Assumptions!$D$7*Assumptions!$F$7*AR10</f>
        <v>3.12</v>
      </c>
      <c r="AS17" s="32" t="n">
        <f aca="false">Assumptions!$D$7*Assumptions!$F$7*AS10</f>
        <v>3.12</v>
      </c>
      <c r="AT17" s="32" t="n">
        <f aca="false">Assumptions!$D$7*Assumptions!$F$7*AT10</f>
        <v>3.12</v>
      </c>
      <c r="AU17" s="32" t="n">
        <f aca="false">Assumptions!$D$7*Assumptions!$F$7*AU10</f>
        <v>3.12</v>
      </c>
      <c r="AV17" s="32" t="n">
        <f aca="false">Assumptions!$D$7*Assumptions!$F$7*AV10</f>
        <v>3.12</v>
      </c>
      <c r="AW17" s="32" t="n">
        <f aca="false">Assumptions!$D$7*Assumptions!$F$7*AW10</f>
        <v>3.12</v>
      </c>
      <c r="AX17" s="32" t="n">
        <f aca="false">Assumptions!$D$7*Assumptions!$F$7*AX10</f>
        <v>3.12</v>
      </c>
      <c r="AY17" s="32" t="n">
        <f aca="false">Assumptions!$D$7*Assumptions!$F$7*AY10</f>
        <v>3.12</v>
      </c>
      <c r="AZ17" s="32" t="n">
        <f aca="false">Assumptions!$D$7*Assumptions!$F$7*AZ10</f>
        <v>3.12</v>
      </c>
      <c r="BA17" s="32" t="n">
        <f aca="false">Assumptions!$D$7*Assumptions!$F$7*BA10</f>
        <v>3.12</v>
      </c>
      <c r="BB17" s="32" t="n">
        <f aca="false">Assumptions!$D$7*Assumptions!$F$7*BB10</f>
        <v>3.12</v>
      </c>
      <c r="BC17" s="32" t="n">
        <f aca="false">Assumptions!$D$7*Assumptions!$F$7*BC10</f>
        <v>3.12</v>
      </c>
      <c r="BD17" s="32" t="n">
        <f aca="false">Assumptions!$D$7*Assumptions!$F$7*BD10</f>
        <v>3.12</v>
      </c>
      <c r="BE17" s="32" t="n">
        <f aca="false">Assumptions!$D$7*Assumptions!$F$7*BE10</f>
        <v>3.12</v>
      </c>
      <c r="BF17" s="32" t="n">
        <f aca="false">Assumptions!$D$7*Assumptions!$F$7*BF10</f>
        <v>3.12</v>
      </c>
      <c r="BG17" s="32" t="n">
        <f aca="false">Assumptions!$D$7*Assumptions!$F$7*BG10</f>
        <v>3.12</v>
      </c>
      <c r="BH17" s="32" t="n">
        <f aca="false">Assumptions!$D$7*Assumptions!$F$7*BH10</f>
        <v>3.12</v>
      </c>
      <c r="BI17" s="32" t="n">
        <f aca="false">Assumptions!$D$7*Assumptions!$F$7*BI10</f>
        <v>3.12</v>
      </c>
      <c r="BJ17" s="32" t="n">
        <f aca="false">Assumptions!$D$7*Assumptions!$F$7*BJ10</f>
        <v>3.12</v>
      </c>
    </row>
    <row r="18" customFormat="false" ht="15" hidden="false" customHeight="false" outlineLevel="0" collapsed="false">
      <c r="A18" s="5" t="s">
        <v>46</v>
      </c>
      <c r="C18" s="32" t="n">
        <f aca="false">Assumptions!$D$8*Assumptions!$F$8*C11</f>
        <v>0</v>
      </c>
      <c r="D18" s="32" t="n">
        <f aca="false">Assumptions!$D$8*Assumptions!$F$8*D11</f>
        <v>0</v>
      </c>
      <c r="E18" s="32" t="n">
        <f aca="false">Assumptions!$D$8*Assumptions!$F$8*E11</f>
        <v>0</v>
      </c>
      <c r="F18" s="32" t="n">
        <f aca="false">Assumptions!$D$8*Assumptions!$F$8*F11</f>
        <v>0</v>
      </c>
      <c r="G18" s="32" t="n">
        <f aca="false">Assumptions!$D$8*Assumptions!$F$8*G11</f>
        <v>0</v>
      </c>
      <c r="H18" s="32" t="n">
        <f aca="false">Assumptions!$D$8*Assumptions!$F$8*H11</f>
        <v>0</v>
      </c>
      <c r="I18" s="32" t="n">
        <f aca="false">Assumptions!$D$8*Assumptions!$F$8*I11</f>
        <v>0.1</v>
      </c>
      <c r="J18" s="32" t="n">
        <f aca="false">Assumptions!$D$8*Assumptions!$F$8*J11</f>
        <v>0.2</v>
      </c>
      <c r="K18" s="32" t="n">
        <f aca="false">Assumptions!$D$8*Assumptions!$F$8*K11</f>
        <v>0.3</v>
      </c>
      <c r="L18" s="32" t="n">
        <f aca="false">Assumptions!$D$8*Assumptions!$F$8*L11</f>
        <v>0.4</v>
      </c>
      <c r="M18" s="32" t="n">
        <f aca="false">Assumptions!$D$8*Assumptions!$F$8*M11</f>
        <v>0.5</v>
      </c>
      <c r="N18" s="32" t="n">
        <f aca="false">Assumptions!$D$8*Assumptions!$F$8*N11</f>
        <v>0.6</v>
      </c>
      <c r="O18" s="32" t="n">
        <f aca="false">Assumptions!$D$8*Assumptions!$F$8*O11</f>
        <v>0.7</v>
      </c>
      <c r="P18" s="32" t="n">
        <f aca="false">Assumptions!$D$8*Assumptions!$F$8*P11</f>
        <v>0.8</v>
      </c>
      <c r="Q18" s="32" t="n">
        <f aca="false">Assumptions!$D$8*Assumptions!$F$8*Q11</f>
        <v>0.9</v>
      </c>
      <c r="R18" s="32" t="n">
        <f aca="false">Assumptions!$D$8*Assumptions!$F$8*R11</f>
        <v>1</v>
      </c>
      <c r="S18" s="32" t="n">
        <f aca="false">Assumptions!$D$8*Assumptions!$F$8*S11</f>
        <v>1.1</v>
      </c>
      <c r="T18" s="32" t="n">
        <f aca="false">Assumptions!$D$8*Assumptions!$F$8*T11</f>
        <v>1.2</v>
      </c>
      <c r="U18" s="32" t="n">
        <f aca="false">Assumptions!$D$8*Assumptions!$F$8*U11</f>
        <v>1.3</v>
      </c>
      <c r="V18" s="32" t="n">
        <f aca="false">Assumptions!$D$8*Assumptions!$F$8*V11</f>
        <v>1.4</v>
      </c>
      <c r="W18" s="32" t="n">
        <f aca="false">Assumptions!$D$8*Assumptions!$F$8*W11</f>
        <v>1.5</v>
      </c>
      <c r="X18" s="32" t="n">
        <f aca="false">Assumptions!$D$8*Assumptions!$F$8*X11</f>
        <v>1.5</v>
      </c>
      <c r="Y18" s="32" t="n">
        <f aca="false">Assumptions!$D$8*Assumptions!$F$8*Y11</f>
        <v>1.5</v>
      </c>
      <c r="Z18" s="32" t="n">
        <f aca="false">Assumptions!$D$8*Assumptions!$F$8*Z11</f>
        <v>1.5</v>
      </c>
      <c r="AA18" s="32" t="n">
        <f aca="false">Assumptions!$D$8*Assumptions!$F$8*AA11</f>
        <v>1.5</v>
      </c>
      <c r="AB18" s="32" t="n">
        <f aca="false">Assumptions!$D$8*Assumptions!$F$8*AB11</f>
        <v>1.5</v>
      </c>
      <c r="AC18" s="32" t="n">
        <f aca="false">Assumptions!$D$8*Assumptions!$F$8*AC11</f>
        <v>1.5</v>
      </c>
      <c r="AD18" s="32" t="n">
        <f aca="false">Assumptions!$D$8*Assumptions!$F$8*AD11</f>
        <v>1.5</v>
      </c>
      <c r="AE18" s="32" t="n">
        <f aca="false">Assumptions!$D$8*Assumptions!$F$8*AE11</f>
        <v>1.5</v>
      </c>
      <c r="AF18" s="32" t="n">
        <f aca="false">Assumptions!$D$8*Assumptions!$F$8*AF11</f>
        <v>1.5</v>
      </c>
      <c r="AG18" s="32" t="n">
        <f aca="false">Assumptions!$D$8*Assumptions!$F$8*AG11</f>
        <v>1.5</v>
      </c>
      <c r="AH18" s="32" t="n">
        <f aca="false">Assumptions!$D$8*Assumptions!$F$8*AH11</f>
        <v>1.5</v>
      </c>
      <c r="AI18" s="32" t="n">
        <f aca="false">Assumptions!$D$8*Assumptions!$F$8*AI11</f>
        <v>1.5</v>
      </c>
      <c r="AJ18" s="32" t="n">
        <f aca="false">Assumptions!$D$8*Assumptions!$F$8*AJ11</f>
        <v>1.5</v>
      </c>
      <c r="AK18" s="32" t="n">
        <f aca="false">Assumptions!$D$8*Assumptions!$F$8*AK11</f>
        <v>1.5</v>
      </c>
      <c r="AL18" s="32" t="n">
        <f aca="false">Assumptions!$D$8*Assumptions!$F$8*AL11</f>
        <v>1.5</v>
      </c>
      <c r="AM18" s="32" t="n">
        <f aca="false">Assumptions!$D$8*Assumptions!$F$8*AM11</f>
        <v>1.5</v>
      </c>
      <c r="AN18" s="32" t="n">
        <f aca="false">Assumptions!$D$8*Assumptions!$F$8*AN11</f>
        <v>1.5</v>
      </c>
      <c r="AO18" s="32" t="n">
        <f aca="false">Assumptions!$D$8*Assumptions!$F$8*AO11</f>
        <v>1.5</v>
      </c>
      <c r="AP18" s="32" t="n">
        <f aca="false">Assumptions!$D$8*Assumptions!$F$8*AP11</f>
        <v>1.5</v>
      </c>
      <c r="AQ18" s="32" t="n">
        <f aca="false">Assumptions!$D$8*Assumptions!$F$8*AQ11</f>
        <v>1.5</v>
      </c>
      <c r="AR18" s="32" t="n">
        <f aca="false">Assumptions!$D$8*Assumptions!$F$8*AR11</f>
        <v>1.5</v>
      </c>
      <c r="AS18" s="32" t="n">
        <f aca="false">Assumptions!$D$8*Assumptions!$F$8*AS11</f>
        <v>1.5</v>
      </c>
      <c r="AT18" s="32" t="n">
        <f aca="false">Assumptions!$D$8*Assumptions!$F$8*AT11</f>
        <v>1.5</v>
      </c>
      <c r="AU18" s="32" t="n">
        <f aca="false">Assumptions!$D$8*Assumptions!$F$8*AU11</f>
        <v>1.5</v>
      </c>
      <c r="AV18" s="32" t="n">
        <f aca="false">Assumptions!$D$8*Assumptions!$F$8*AV11</f>
        <v>1.5</v>
      </c>
      <c r="AW18" s="32" t="n">
        <f aca="false">Assumptions!$D$8*Assumptions!$F$8*AW11</f>
        <v>1.5</v>
      </c>
      <c r="AX18" s="32" t="n">
        <f aca="false">Assumptions!$D$8*Assumptions!$F$8*AX11</f>
        <v>1.5</v>
      </c>
      <c r="AY18" s="32" t="n">
        <f aca="false">Assumptions!$D$8*Assumptions!$F$8*AY11</f>
        <v>1.5</v>
      </c>
      <c r="AZ18" s="32" t="n">
        <f aca="false">Assumptions!$D$8*Assumptions!$F$8*AZ11</f>
        <v>1.5</v>
      </c>
      <c r="BA18" s="32" t="n">
        <f aca="false">Assumptions!$D$8*Assumptions!$F$8*BA11</f>
        <v>1.5</v>
      </c>
      <c r="BB18" s="32" t="n">
        <f aca="false">Assumptions!$D$8*Assumptions!$F$8*BB11</f>
        <v>1.5</v>
      </c>
      <c r="BC18" s="32" t="n">
        <f aca="false">Assumptions!$D$8*Assumptions!$F$8*BC11</f>
        <v>1.5</v>
      </c>
      <c r="BD18" s="32" t="n">
        <f aca="false">Assumptions!$D$8*Assumptions!$F$8*BD11</f>
        <v>1.5</v>
      </c>
      <c r="BE18" s="32" t="n">
        <f aca="false">Assumptions!$D$8*Assumptions!$F$8*BE11</f>
        <v>1.5</v>
      </c>
      <c r="BF18" s="32" t="n">
        <f aca="false">Assumptions!$D$8*Assumptions!$F$8*BF11</f>
        <v>1.5</v>
      </c>
      <c r="BG18" s="32" t="n">
        <f aca="false">Assumptions!$D$8*Assumptions!$F$8*BG11</f>
        <v>1.5</v>
      </c>
      <c r="BH18" s="32" t="n">
        <f aca="false">Assumptions!$D$8*Assumptions!$F$8*BH11</f>
        <v>1.5</v>
      </c>
      <c r="BI18" s="32" t="n">
        <f aca="false">Assumptions!$D$8*Assumptions!$F$8*BI11</f>
        <v>1.5</v>
      </c>
      <c r="BJ18" s="32" t="n">
        <f aca="false">Assumptions!$D$8*Assumptions!$F$8*BJ11</f>
        <v>1.5</v>
      </c>
    </row>
    <row r="19" customFormat="false" ht="15" hidden="false" customHeight="false" outlineLevel="0" collapsed="false">
      <c r="A19" s="5" t="s">
        <v>48</v>
      </c>
      <c r="C19" s="32" t="n">
        <f aca="false">Assumptions!$D$9*Assumptions!$F$9*C12</f>
        <v>0</v>
      </c>
      <c r="D19" s="32" t="n">
        <f aca="false">Assumptions!$D$9*Assumptions!$F$9*D12</f>
        <v>0</v>
      </c>
      <c r="E19" s="32" t="n">
        <f aca="false">Assumptions!$D$9*Assumptions!$F$9*E12</f>
        <v>0</v>
      </c>
      <c r="F19" s="32" t="n">
        <f aca="false">Assumptions!$D$9*Assumptions!$F$9*F12</f>
        <v>0</v>
      </c>
      <c r="G19" s="32" t="n">
        <f aca="false">Assumptions!$D$9*Assumptions!$F$9*G12</f>
        <v>0</v>
      </c>
      <c r="H19" s="32" t="n">
        <f aca="false">Assumptions!$D$9*Assumptions!$F$9*H12</f>
        <v>0</v>
      </c>
      <c r="I19" s="32" t="n">
        <f aca="false">Assumptions!$D$9*Assumptions!$F$9*I12</f>
        <v>0</v>
      </c>
      <c r="J19" s="32" t="n">
        <f aca="false">Assumptions!$D$9*Assumptions!$F$9*J12</f>
        <v>0</v>
      </c>
      <c r="K19" s="32" t="n">
        <f aca="false">Assumptions!$D$9*Assumptions!$F$9*K12</f>
        <v>0</v>
      </c>
      <c r="L19" s="32" t="n">
        <f aca="false">Assumptions!$D$9*Assumptions!$F$9*L12</f>
        <v>0</v>
      </c>
      <c r="M19" s="32" t="n">
        <f aca="false">Assumptions!$D$9*Assumptions!$F$9*M12</f>
        <v>0</v>
      </c>
      <c r="N19" s="32" t="n">
        <f aca="false">Assumptions!$D$9*Assumptions!$F$9*N12</f>
        <v>0</v>
      </c>
      <c r="O19" s="32" t="n">
        <f aca="false">Assumptions!$D$9*Assumptions!$F$9*O12</f>
        <v>0</v>
      </c>
      <c r="P19" s="32" t="n">
        <f aca="false">Assumptions!$D$9*Assumptions!$F$9*P12</f>
        <v>0</v>
      </c>
      <c r="Q19" s="32" t="n">
        <f aca="false">Assumptions!$D$9*Assumptions!$F$9*Q12</f>
        <v>0</v>
      </c>
      <c r="R19" s="32" t="n">
        <f aca="false">Assumptions!$D$9*Assumptions!$F$9*R12</f>
        <v>0</v>
      </c>
      <c r="S19" s="32" t="n">
        <f aca="false">Assumptions!$D$9*Assumptions!$F$9*S12</f>
        <v>0</v>
      </c>
      <c r="T19" s="32" t="n">
        <f aca="false">Assumptions!$D$9*Assumptions!$F$9*T12</f>
        <v>0</v>
      </c>
      <c r="U19" s="32" t="n">
        <f aca="false">Assumptions!$D$9*Assumptions!$F$9*U12</f>
        <v>0.069426</v>
      </c>
      <c r="V19" s="32" t="n">
        <f aca="false">Assumptions!$D$9*Assumptions!$F$9*V12</f>
        <v>0.138852</v>
      </c>
      <c r="W19" s="32" t="n">
        <f aca="false">Assumptions!$D$9*Assumptions!$F$9*W12</f>
        <v>0.208278</v>
      </c>
      <c r="X19" s="32" t="n">
        <f aca="false">Assumptions!$D$9*Assumptions!$F$9*X12</f>
        <v>0.277704</v>
      </c>
      <c r="Y19" s="32" t="n">
        <f aca="false">Assumptions!$D$9*Assumptions!$F$9*Y12</f>
        <v>0.34713</v>
      </c>
      <c r="Z19" s="32" t="n">
        <f aca="false">Assumptions!$D$9*Assumptions!$F$9*Z12</f>
        <v>0.416556</v>
      </c>
      <c r="AA19" s="32" t="n">
        <f aca="false">Assumptions!$D$9*Assumptions!$F$9*AA12</f>
        <v>0.485982</v>
      </c>
      <c r="AB19" s="32" t="n">
        <f aca="false">Assumptions!$D$9*Assumptions!$F$9*AB12</f>
        <v>0.555408</v>
      </c>
      <c r="AC19" s="32" t="n">
        <f aca="false">Assumptions!$D$9*Assumptions!$F$9*AC12</f>
        <v>0.624834</v>
      </c>
      <c r="AD19" s="32" t="n">
        <f aca="false">Assumptions!$D$9*Assumptions!$F$9*AD12</f>
        <v>0.69426</v>
      </c>
      <c r="AE19" s="32" t="n">
        <f aca="false">Assumptions!$D$9*Assumptions!$F$9*AE12</f>
        <v>0.763686</v>
      </c>
      <c r="AF19" s="32" t="n">
        <f aca="false">Assumptions!$D$9*Assumptions!$F$9*AF12</f>
        <v>0.833112</v>
      </c>
      <c r="AG19" s="32" t="n">
        <f aca="false">Assumptions!$D$9*Assumptions!$F$9*AG12</f>
        <v>0.902538</v>
      </c>
      <c r="AH19" s="32" t="n">
        <f aca="false">Assumptions!$D$9*Assumptions!$F$9*AH12</f>
        <v>0.971964</v>
      </c>
      <c r="AI19" s="32" t="n">
        <f aca="false">Assumptions!$D$9*Assumptions!$F$9*AI12</f>
        <v>1.04139</v>
      </c>
      <c r="AJ19" s="32" t="n">
        <f aca="false">Assumptions!$D$9*Assumptions!$F$9*AJ12</f>
        <v>1.04139</v>
      </c>
      <c r="AK19" s="32" t="n">
        <f aca="false">Assumptions!$D$9*Assumptions!$F$9*AK12</f>
        <v>1.04139</v>
      </c>
      <c r="AL19" s="32" t="n">
        <f aca="false">Assumptions!$D$9*Assumptions!$F$9*AL12</f>
        <v>1.04139</v>
      </c>
      <c r="AM19" s="32" t="n">
        <f aca="false">Assumptions!$D$9*Assumptions!$F$9*AM12</f>
        <v>1.04139</v>
      </c>
      <c r="AN19" s="32" t="n">
        <f aca="false">Assumptions!$D$9*Assumptions!$F$9*AN12</f>
        <v>1.04139</v>
      </c>
      <c r="AO19" s="32" t="n">
        <f aca="false">Assumptions!$D$9*Assumptions!$F$9*AO12</f>
        <v>1.04139</v>
      </c>
      <c r="AP19" s="32" t="n">
        <f aca="false">Assumptions!$D$9*Assumptions!$F$9*AP12</f>
        <v>1.04139</v>
      </c>
      <c r="AQ19" s="32" t="n">
        <f aca="false">Assumptions!$D$9*Assumptions!$F$9*AQ12</f>
        <v>1.04139</v>
      </c>
      <c r="AR19" s="32" t="n">
        <f aca="false">Assumptions!$D$9*Assumptions!$F$9*AR12</f>
        <v>1.04139</v>
      </c>
      <c r="AS19" s="32" t="n">
        <f aca="false">Assumptions!$D$9*Assumptions!$F$9*AS12</f>
        <v>1.04139</v>
      </c>
      <c r="AT19" s="32" t="n">
        <f aca="false">Assumptions!$D$9*Assumptions!$F$9*AT12</f>
        <v>1.04139</v>
      </c>
      <c r="AU19" s="32" t="n">
        <f aca="false">Assumptions!$D$9*Assumptions!$F$9*AU12</f>
        <v>1.04139</v>
      </c>
      <c r="AV19" s="32" t="n">
        <f aca="false">Assumptions!$D$9*Assumptions!$F$9*AV12</f>
        <v>1.04139</v>
      </c>
      <c r="AW19" s="32" t="n">
        <f aca="false">Assumptions!$D$9*Assumptions!$F$9*AW12</f>
        <v>1.04139</v>
      </c>
      <c r="AX19" s="32" t="n">
        <f aca="false">Assumptions!$D$9*Assumptions!$F$9*AX12</f>
        <v>1.04139</v>
      </c>
      <c r="AY19" s="32" t="n">
        <f aca="false">Assumptions!$D$9*Assumptions!$F$9*AY12</f>
        <v>1.04139</v>
      </c>
      <c r="AZ19" s="32" t="n">
        <f aca="false">Assumptions!$D$9*Assumptions!$F$9*AZ12</f>
        <v>1.04139</v>
      </c>
      <c r="BA19" s="32" t="n">
        <f aca="false">Assumptions!$D$9*Assumptions!$F$9*BA12</f>
        <v>1.04139</v>
      </c>
      <c r="BB19" s="32" t="n">
        <f aca="false">Assumptions!$D$9*Assumptions!$F$9*BB12</f>
        <v>1.04139</v>
      </c>
      <c r="BC19" s="32" t="n">
        <f aca="false">Assumptions!$D$9*Assumptions!$F$9*BC12</f>
        <v>1.04139</v>
      </c>
      <c r="BD19" s="32" t="n">
        <f aca="false">Assumptions!$D$9*Assumptions!$F$9*BD12</f>
        <v>1.04139</v>
      </c>
      <c r="BE19" s="32" t="n">
        <f aca="false">Assumptions!$D$9*Assumptions!$F$9*BE12</f>
        <v>1.04139</v>
      </c>
      <c r="BF19" s="32" t="n">
        <f aca="false">Assumptions!$D$9*Assumptions!$F$9*BF12</f>
        <v>1.04139</v>
      </c>
      <c r="BG19" s="32" t="n">
        <f aca="false">Assumptions!$D$9*Assumptions!$F$9*BG12</f>
        <v>1.04139</v>
      </c>
      <c r="BH19" s="32" t="n">
        <f aca="false">Assumptions!$D$9*Assumptions!$F$9*BH12</f>
        <v>1.04139</v>
      </c>
      <c r="BI19" s="32" t="n">
        <f aca="false">Assumptions!$D$9*Assumptions!$F$9*BI12</f>
        <v>1.04139</v>
      </c>
      <c r="BJ19" s="32" t="n">
        <f aca="false">Assumptions!$D$9*Assumptions!$F$9*BJ12</f>
        <v>1.04139</v>
      </c>
    </row>
    <row r="20" customFormat="false" ht="15" hidden="false" customHeight="false" outlineLevel="0" collapsed="false">
      <c r="A20" s="5" t="s">
        <v>50</v>
      </c>
      <c r="C20" s="32" t="n">
        <f aca="false">Assumptions!$D$10*Assumptions!$F$10*C13</f>
        <v>0</v>
      </c>
      <c r="D20" s="32" t="n">
        <f aca="false">Assumptions!$D$10*Assumptions!$F$10*D13</f>
        <v>0</v>
      </c>
      <c r="E20" s="32" t="n">
        <f aca="false">Assumptions!$D$10*Assumptions!$F$10*E13</f>
        <v>0</v>
      </c>
      <c r="F20" s="32" t="n">
        <f aca="false">Assumptions!$D$10*Assumptions!$F$10*F13</f>
        <v>0</v>
      </c>
      <c r="G20" s="32" t="n">
        <f aca="false">Assumptions!$D$10*Assumptions!$F$10*G13</f>
        <v>0</v>
      </c>
      <c r="H20" s="32" t="n">
        <f aca="false">Assumptions!$D$10*Assumptions!$F$10*H13</f>
        <v>0</v>
      </c>
      <c r="I20" s="32" t="n">
        <f aca="false">Assumptions!$D$10*Assumptions!$F$10*I13</f>
        <v>0</v>
      </c>
      <c r="J20" s="32" t="n">
        <f aca="false">Assumptions!$D$10*Assumptions!$F$10*J13</f>
        <v>0</v>
      </c>
      <c r="K20" s="32" t="n">
        <f aca="false">Assumptions!$D$10*Assumptions!$F$10*K13</f>
        <v>0</v>
      </c>
      <c r="L20" s="32" t="n">
        <f aca="false">Assumptions!$D$10*Assumptions!$F$10*L13</f>
        <v>0</v>
      </c>
      <c r="M20" s="32" t="n">
        <f aca="false">Assumptions!$D$10*Assumptions!$F$10*M13</f>
        <v>0</v>
      </c>
      <c r="N20" s="32" t="n">
        <f aca="false">Assumptions!$D$10*Assumptions!$F$10*N13</f>
        <v>0</v>
      </c>
      <c r="O20" s="32" t="n">
        <f aca="false">Assumptions!$D$10*Assumptions!$F$10*O13</f>
        <v>0</v>
      </c>
      <c r="P20" s="32" t="n">
        <f aca="false">Assumptions!$D$10*Assumptions!$F$10*P13</f>
        <v>0</v>
      </c>
      <c r="Q20" s="32" t="n">
        <f aca="false">Assumptions!$D$10*Assumptions!$F$10*Q13</f>
        <v>0</v>
      </c>
      <c r="R20" s="32" t="n">
        <f aca="false">Assumptions!$D$10*Assumptions!$F$10*R13</f>
        <v>0</v>
      </c>
      <c r="S20" s="32" t="n">
        <f aca="false">Assumptions!$D$10*Assumptions!$F$10*S13</f>
        <v>0</v>
      </c>
      <c r="T20" s="32" t="n">
        <f aca="false">Assumptions!$D$10*Assumptions!$F$10*T13</f>
        <v>0</v>
      </c>
      <c r="U20" s="32" t="n">
        <f aca="false">Assumptions!$D$10*Assumptions!$F$10*U13</f>
        <v>0.0466666666666667</v>
      </c>
      <c r="V20" s="32" t="n">
        <f aca="false">Assumptions!$D$10*Assumptions!$F$10*V13</f>
        <v>0.0933333333333333</v>
      </c>
      <c r="W20" s="32" t="n">
        <f aca="false">Assumptions!$D$10*Assumptions!$F$10*W13</f>
        <v>0.14</v>
      </c>
      <c r="X20" s="32" t="n">
        <f aca="false">Assumptions!$D$10*Assumptions!$F$10*X13</f>
        <v>0.186666666666667</v>
      </c>
      <c r="Y20" s="32" t="n">
        <f aca="false">Assumptions!$D$10*Assumptions!$F$10*Y13</f>
        <v>0.233333333333333</v>
      </c>
      <c r="Z20" s="32" t="n">
        <f aca="false">Assumptions!$D$10*Assumptions!$F$10*Z13</f>
        <v>0.28</v>
      </c>
      <c r="AA20" s="32" t="n">
        <f aca="false">Assumptions!$D$10*Assumptions!$F$10*AA13</f>
        <v>0.326666666666667</v>
      </c>
      <c r="AB20" s="32" t="n">
        <f aca="false">Assumptions!$D$10*Assumptions!$F$10*AB13</f>
        <v>0.373333333333333</v>
      </c>
      <c r="AC20" s="32" t="n">
        <f aca="false">Assumptions!$D$10*Assumptions!$F$10*AC13</f>
        <v>0.42</v>
      </c>
      <c r="AD20" s="32" t="n">
        <f aca="false">Assumptions!$D$10*Assumptions!$F$10*AD13</f>
        <v>0.466666666666667</v>
      </c>
      <c r="AE20" s="32" t="n">
        <f aca="false">Assumptions!$D$10*Assumptions!$F$10*AE13</f>
        <v>0.513333333333333</v>
      </c>
      <c r="AF20" s="32" t="n">
        <f aca="false">Assumptions!$D$10*Assumptions!$F$10*AF13</f>
        <v>0.56</v>
      </c>
      <c r="AG20" s="32" t="n">
        <f aca="false">Assumptions!$D$10*Assumptions!$F$10*AG13</f>
        <v>0.606666666666667</v>
      </c>
      <c r="AH20" s="32" t="n">
        <f aca="false">Assumptions!$D$10*Assumptions!$F$10*AH13</f>
        <v>0.653333333333333</v>
      </c>
      <c r="AI20" s="32" t="n">
        <f aca="false">Assumptions!$D$10*Assumptions!$F$10*AI13</f>
        <v>0.7</v>
      </c>
      <c r="AJ20" s="32" t="n">
        <f aca="false">Assumptions!$D$10*Assumptions!$F$10*AJ13</f>
        <v>0.7</v>
      </c>
      <c r="AK20" s="32" t="n">
        <f aca="false">Assumptions!$D$10*Assumptions!$F$10*AK13</f>
        <v>0.7</v>
      </c>
      <c r="AL20" s="32" t="n">
        <f aca="false">Assumptions!$D$10*Assumptions!$F$10*AL13</f>
        <v>0.7</v>
      </c>
      <c r="AM20" s="32" t="n">
        <f aca="false">Assumptions!$D$10*Assumptions!$F$10*AM13</f>
        <v>0.7</v>
      </c>
      <c r="AN20" s="32" t="n">
        <f aca="false">Assumptions!$D$10*Assumptions!$F$10*AN13</f>
        <v>0.7</v>
      </c>
      <c r="AO20" s="32" t="n">
        <f aca="false">Assumptions!$D$10*Assumptions!$F$10*AO13</f>
        <v>0.7</v>
      </c>
      <c r="AP20" s="32" t="n">
        <f aca="false">Assumptions!$D$10*Assumptions!$F$10*AP13</f>
        <v>0.7</v>
      </c>
      <c r="AQ20" s="32" t="n">
        <f aca="false">Assumptions!$D$10*Assumptions!$F$10*AQ13</f>
        <v>0.7</v>
      </c>
      <c r="AR20" s="32" t="n">
        <f aca="false">Assumptions!$D$10*Assumptions!$F$10*AR13</f>
        <v>0.7</v>
      </c>
      <c r="AS20" s="32" t="n">
        <f aca="false">Assumptions!$D$10*Assumptions!$F$10*AS13</f>
        <v>0.7</v>
      </c>
      <c r="AT20" s="32" t="n">
        <f aca="false">Assumptions!$D$10*Assumptions!$F$10*AT13</f>
        <v>0.7</v>
      </c>
      <c r="AU20" s="32" t="n">
        <f aca="false">Assumptions!$D$10*Assumptions!$F$10*AU13</f>
        <v>0.7</v>
      </c>
      <c r="AV20" s="32" t="n">
        <f aca="false">Assumptions!$D$10*Assumptions!$F$10*AV13</f>
        <v>0.7</v>
      </c>
      <c r="AW20" s="32" t="n">
        <f aca="false">Assumptions!$D$10*Assumptions!$F$10*AW13</f>
        <v>0.7</v>
      </c>
      <c r="AX20" s="32" t="n">
        <f aca="false">Assumptions!$D$10*Assumptions!$F$10*AX13</f>
        <v>0.7</v>
      </c>
      <c r="AY20" s="32" t="n">
        <f aca="false">Assumptions!$D$10*Assumptions!$F$10*AY13</f>
        <v>0.7</v>
      </c>
      <c r="AZ20" s="32" t="n">
        <f aca="false">Assumptions!$D$10*Assumptions!$F$10*AZ13</f>
        <v>0.7</v>
      </c>
      <c r="BA20" s="32" t="n">
        <f aca="false">Assumptions!$D$10*Assumptions!$F$10*BA13</f>
        <v>0.7</v>
      </c>
      <c r="BB20" s="32" t="n">
        <f aca="false">Assumptions!$D$10*Assumptions!$F$10*BB13</f>
        <v>0.7</v>
      </c>
      <c r="BC20" s="32" t="n">
        <f aca="false">Assumptions!$D$10*Assumptions!$F$10*BC13</f>
        <v>0.7</v>
      </c>
      <c r="BD20" s="32" t="n">
        <f aca="false">Assumptions!$D$10*Assumptions!$F$10*BD13</f>
        <v>0.7</v>
      </c>
      <c r="BE20" s="32" t="n">
        <f aca="false">Assumptions!$D$10*Assumptions!$F$10*BE13</f>
        <v>0.7</v>
      </c>
      <c r="BF20" s="32" t="n">
        <f aca="false">Assumptions!$D$10*Assumptions!$F$10*BF13</f>
        <v>0.7</v>
      </c>
      <c r="BG20" s="32" t="n">
        <f aca="false">Assumptions!$D$10*Assumptions!$F$10*BG13</f>
        <v>0.7</v>
      </c>
      <c r="BH20" s="32" t="n">
        <f aca="false">Assumptions!$D$10*Assumptions!$F$10*BH13</f>
        <v>0.7</v>
      </c>
      <c r="BI20" s="32" t="n">
        <f aca="false">Assumptions!$D$10*Assumptions!$F$10*BI13</f>
        <v>0.7</v>
      </c>
      <c r="BJ20" s="32" t="n">
        <f aca="false">Assumptions!$D$10*Assumptions!$F$10*BJ13</f>
        <v>0.7</v>
      </c>
    </row>
    <row r="22" customFormat="false" ht="15" hidden="false" customHeight="false" outlineLevel="0" collapsed="false">
      <c r="A22" s="10" t="s">
        <v>119</v>
      </c>
    </row>
    <row r="23" customFormat="false" ht="15" hidden="false" customHeight="false" outlineLevel="0" collapsed="false">
      <c r="A23" s="5" t="s">
        <v>42</v>
      </c>
      <c r="C23" s="32" t="n">
        <f aca="false">C16</f>
        <v>0.924854</v>
      </c>
      <c r="D23" s="32" t="n">
        <f aca="false">C23*(1-Assumptions!$C$26)+D16</f>
        <v>2.74219211</v>
      </c>
      <c r="E23" s="32" t="n">
        <f aca="false">D23*(1-Assumptions!$C$26)+E16</f>
        <v>5.42077738615</v>
      </c>
      <c r="F23" s="32" t="n">
        <f aca="false">E23*(1-Assumptions!$C$26)+F16</f>
        <v>8.93046617763475</v>
      </c>
      <c r="G23" s="32" t="n">
        <f aca="false">F23*(1-Assumptions!$C$26)+G16</f>
        <v>13.2421698614175</v>
      </c>
      <c r="H23" s="32" t="n">
        <f aca="false">G23*(1-Assumptions!$C$26)+H16</f>
        <v>18.3278179162679</v>
      </c>
      <c r="I23" s="32" t="n">
        <f aca="false">H23*(1-Assumptions!$C$26)+I16</f>
        <v>24.1603222891985</v>
      </c>
      <c r="J23" s="32" t="n">
        <f aca="false">I23*(1-Assumptions!$C$26)+J16</f>
        <v>30.7135430090766</v>
      </c>
      <c r="K23" s="32" t="n">
        <f aca="false">J23*(1-Assumptions!$C$26)+K16</f>
        <v>37.9622550037589</v>
      </c>
      <c r="L23" s="32" t="n">
        <f aca="false">K23*(1-Assumptions!$C$26)+L16</f>
        <v>45.8821160786273</v>
      </c>
      <c r="M23" s="32" t="n">
        <f aca="false">L23*(1-Assumptions!$C$26)+M16</f>
        <v>54.4496360158754</v>
      </c>
      <c r="N23" s="32" t="n">
        <f aca="false">M23*(1-Assumptions!$C$26)+N16</f>
        <v>63.6421467553197</v>
      </c>
      <c r="O23" s="32" t="n">
        <f aca="false">N23*(1-Assumptions!$C$26)+O16</f>
        <v>73.4377736188836</v>
      </c>
      <c r="P23" s="32" t="n">
        <f aca="false">O23*(1-Assumptions!$C$26)+P16</f>
        <v>83.8154075422226</v>
      </c>
      <c r="Q23" s="32" t="n">
        <f aca="false">P23*(1-Assumptions!$C$26)+Q16</f>
        <v>94.7546782782448</v>
      </c>
      <c r="R23" s="32" t="n">
        <f aca="false">Q23*(1-Assumptions!$C$26)+R16</f>
        <v>105.311074538506</v>
      </c>
      <c r="S23" s="32" t="n">
        <f aca="false">R23*(1-Assumptions!$C$26)+S16</f>
        <v>115.497996929659</v>
      </c>
      <c r="T23" s="32" t="n">
        <f aca="false">S23*(1-Assumptions!$C$26)+T16</f>
        <v>125.32837703712</v>
      </c>
      <c r="U23" s="32" t="n">
        <f aca="false">T23*(1-Assumptions!$C$26)+U16</f>
        <v>134.814693840821</v>
      </c>
      <c r="V23" s="32" t="n">
        <f aca="false">U23*(1-Assumptions!$C$26)+V16</f>
        <v>143.968989556393</v>
      </c>
      <c r="W23" s="32" t="n">
        <f aca="false">V23*(1-Assumptions!$C$26)+W16</f>
        <v>152.802884921919</v>
      </c>
      <c r="X23" s="32" t="n">
        <f aca="false">W23*(1-Assumptions!$C$26)+X16</f>
        <v>161.327593949652</v>
      </c>
      <c r="Y23" s="32" t="n">
        <f aca="false">X23*(1-Assumptions!$C$26)+Y16</f>
        <v>169.553938161414</v>
      </c>
      <c r="Z23" s="32" t="n">
        <f aca="false">Y23*(1-Assumptions!$C$26)+Z16</f>
        <v>177.492360325764</v>
      </c>
      <c r="AA23" s="32" t="n">
        <f aca="false">Z23*(1-Assumptions!$C$26)+AA16</f>
        <v>185.152937714362</v>
      </c>
      <c r="AB23" s="32" t="n">
        <f aca="false">AA23*(1-Assumptions!$C$26)+AB16</f>
        <v>192.54539489436</v>
      </c>
      <c r="AC23" s="32" t="n">
        <f aca="false">AB23*(1-Assumptions!$C$26)+AC16</f>
        <v>199.679116073057</v>
      </c>
      <c r="AD23" s="32" t="n">
        <f aca="false">AC23*(1-Assumptions!$C$26)+AD16</f>
        <v>206.5631570105</v>
      </c>
      <c r="AE23" s="32" t="n">
        <f aca="false">AD23*(1-Assumptions!$C$26)+AE16</f>
        <v>213.206256515133</v>
      </c>
      <c r="AF23" s="32" t="n">
        <f aca="false">AE23*(1-Assumptions!$C$26)+AF16</f>
        <v>219.616847537103</v>
      </c>
      <c r="AG23" s="32" t="n">
        <f aca="false">AF23*(1-Assumptions!$C$26)+AG16</f>
        <v>225.803067873304</v>
      </c>
      <c r="AH23" s="32" t="n">
        <f aca="false">AG23*(1-Assumptions!$C$26)+AH16</f>
        <v>231.772770497739</v>
      </c>
      <c r="AI23" s="32" t="n">
        <f aca="false">AH23*(1-Assumptions!$C$26)+AI16</f>
        <v>237.533533530318</v>
      </c>
      <c r="AJ23" s="32" t="n">
        <f aca="false">AI23*(1-Assumptions!$C$26)+AJ16</f>
        <v>243.092669856757</v>
      </c>
      <c r="AK23" s="32" t="n">
        <f aca="false">AJ23*(1-Assumptions!$C$26)+AK16</f>
        <v>248.45723641177</v>
      </c>
      <c r="AL23" s="32" t="n">
        <f aca="false">AK23*(1-Assumptions!$C$26)+AL16</f>
        <v>253.634043137358</v>
      </c>
      <c r="AM23" s="32" t="n">
        <f aca="false">AL23*(1-Assumptions!$C$26)+AM16</f>
        <v>258.629661627551</v>
      </c>
      <c r="AN23" s="32" t="n">
        <f aca="false">AM23*(1-Assumptions!$C$26)+AN16</f>
        <v>263.450433470586</v>
      </c>
      <c r="AO23" s="32" t="n">
        <f aca="false">AN23*(1-Assumptions!$C$26)+AO16</f>
        <v>268.102478299116</v>
      </c>
      <c r="AP23" s="32" t="n">
        <f aca="false">AO23*(1-Assumptions!$C$26)+AP16</f>
        <v>272.591701558647</v>
      </c>
      <c r="AQ23" s="32" t="n">
        <f aca="false">AP23*(1-Assumptions!$C$26)+AQ16</f>
        <v>276.923802004094</v>
      </c>
      <c r="AR23" s="32" t="n">
        <f aca="false">AQ23*(1-Assumptions!$C$26)+AR16</f>
        <v>281.104278933951</v>
      </c>
      <c r="AS23" s="32" t="n">
        <f aca="false">AR23*(1-Assumptions!$C$26)+AS16</f>
        <v>285.138439171263</v>
      </c>
      <c r="AT23" s="32" t="n">
        <f aca="false">AS23*(1-Assumptions!$C$26)+AT16</f>
        <v>289.031403800268</v>
      </c>
      <c r="AU23" s="32" t="n">
        <f aca="false">AT23*(1-Assumptions!$C$26)+AU16</f>
        <v>292.788114667259</v>
      </c>
      <c r="AV23" s="32" t="n">
        <f aca="false">AU23*(1-Assumptions!$C$26)+AV16</f>
        <v>296.413340653905</v>
      </c>
      <c r="AW23" s="32" t="n">
        <f aca="false">AV23*(1-Assumptions!$C$26)+AW16</f>
        <v>299.911683731018</v>
      </c>
      <c r="AX23" s="32" t="n">
        <f aca="false">AW23*(1-Assumptions!$C$26)+AX16</f>
        <v>303.287584800433</v>
      </c>
      <c r="AY23" s="32" t="n">
        <f aca="false">AX23*(1-Assumptions!$C$26)+AY16</f>
        <v>306.545329332418</v>
      </c>
      <c r="AZ23" s="32" t="n">
        <f aca="false">AY23*(1-Assumptions!$C$26)+AZ16</f>
        <v>309.689052805783</v>
      </c>
      <c r="BA23" s="32" t="n">
        <f aca="false">AZ23*(1-Assumptions!$C$26)+BA16</f>
        <v>312.722745957581</v>
      </c>
      <c r="BB23" s="32" t="n">
        <f aca="false">BA23*(1-Assumptions!$C$26)+BB16</f>
        <v>315.650259849065</v>
      </c>
      <c r="BC23" s="32" t="n">
        <f aca="false">BB23*(1-Assumptions!$C$26)+BC16</f>
        <v>318.475310754348</v>
      </c>
      <c r="BD23" s="32" t="n">
        <f aca="false">BC23*(1-Assumptions!$C$26)+BD16</f>
        <v>321.201484877946</v>
      </c>
      <c r="BE23" s="32" t="n">
        <f aca="false">BD23*(1-Assumptions!$C$26)+BE16</f>
        <v>323.832242907218</v>
      </c>
      <c r="BF23" s="32" t="n">
        <f aca="false">BE23*(1-Assumptions!$C$26)+BF16</f>
        <v>326.370924405465</v>
      </c>
      <c r="BG23" s="32" t="n">
        <f aca="false">BF23*(1-Assumptions!$C$26)+BG16</f>
        <v>328.820752051274</v>
      </c>
      <c r="BH23" s="32" t="n">
        <f aca="false">BG23*(1-Assumptions!$C$26)+BH16</f>
        <v>331.184835729479</v>
      </c>
      <c r="BI23" s="32" t="n">
        <f aca="false">BH23*(1-Assumptions!$C$26)+BI16</f>
        <v>333.466176478948</v>
      </c>
      <c r="BJ23" s="32" t="n">
        <f aca="false">BI23*(1-Assumptions!$C$26)+BJ16</f>
        <v>335.667670302184</v>
      </c>
    </row>
    <row r="24" customFormat="false" ht="15" hidden="false" customHeight="false" outlineLevel="0" collapsed="false">
      <c r="A24" s="5" t="s">
        <v>44</v>
      </c>
      <c r="C24" s="32" t="n">
        <f aca="false">C17</f>
        <v>0</v>
      </c>
      <c r="D24" s="32" t="n">
        <f aca="false">C24*(1-Assumptions!$C$26)+D17</f>
        <v>0</v>
      </c>
      <c r="E24" s="32" t="n">
        <f aca="false">D24*(1-Assumptions!$C$26)+E17</f>
        <v>0</v>
      </c>
      <c r="F24" s="32" t="n">
        <f aca="false">E24*(1-Assumptions!$C$26)+F17</f>
        <v>0</v>
      </c>
      <c r="G24" s="32" t="n">
        <f aca="false">F24*(1-Assumptions!$C$26)+G17</f>
        <v>0</v>
      </c>
      <c r="H24" s="32" t="n">
        <f aca="false">G24*(1-Assumptions!$C$26)+H17</f>
        <v>0</v>
      </c>
      <c r="I24" s="32" t="n">
        <f aca="false">H24*(1-Assumptions!$C$26)+I17</f>
        <v>0.208</v>
      </c>
      <c r="J24" s="32" t="n">
        <f aca="false">I24*(1-Assumptions!$C$26)+J17</f>
        <v>0.61672</v>
      </c>
      <c r="K24" s="32" t="n">
        <f aca="false">J24*(1-Assumptions!$C$26)+K17</f>
        <v>1.2191348</v>
      </c>
      <c r="L24" s="32" t="n">
        <f aca="false">K24*(1-Assumptions!$C$26)+L17</f>
        <v>2.008465082</v>
      </c>
      <c r="M24" s="32" t="n">
        <f aca="false">L24*(1-Assumptions!$C$26)+M17</f>
        <v>2.97816880413</v>
      </c>
      <c r="N24" s="32" t="n">
        <f aca="false">M24*(1-Assumptions!$C$26)+N17</f>
        <v>4.12193289598545</v>
      </c>
      <c r="O24" s="32" t="n">
        <f aca="false">N24*(1-Assumptions!$C$26)+O17</f>
        <v>5.43366524462596</v>
      </c>
      <c r="P24" s="32" t="n">
        <f aca="false">O24*(1-Assumptions!$C$26)+P17</f>
        <v>6.90748696106405</v>
      </c>
      <c r="Q24" s="32" t="n">
        <f aca="false">P24*(1-Assumptions!$C$26)+Q17</f>
        <v>8.53772491742681</v>
      </c>
      <c r="R24" s="32" t="n">
        <f aca="false">Q24*(1-Assumptions!$C$26)+R17</f>
        <v>10.3189045453169</v>
      </c>
      <c r="S24" s="32" t="n">
        <f aca="false">R24*(1-Assumptions!$C$26)+S17</f>
        <v>12.2457428862308</v>
      </c>
      <c r="T24" s="32" t="n">
        <f aca="false">S24*(1-Assumptions!$C$26)+T17</f>
        <v>14.3131418852127</v>
      </c>
      <c r="U24" s="32" t="n">
        <f aca="false">T24*(1-Assumptions!$C$26)+U17</f>
        <v>16.5161819192303</v>
      </c>
      <c r="V24" s="32" t="n">
        <f aca="false">U24*(1-Assumptions!$C$26)+V17</f>
        <v>18.8501155520572</v>
      </c>
      <c r="W24" s="32" t="n">
        <f aca="false">V24*(1-Assumptions!$C$26)+W17</f>
        <v>21.3103615077352</v>
      </c>
      <c r="X24" s="32" t="n">
        <f aca="false">W24*(1-Assumptions!$C$26)+X17</f>
        <v>23.6844988549645</v>
      </c>
      <c r="Y24" s="32" t="n">
        <f aca="false">X24*(1-Assumptions!$C$26)+Y17</f>
        <v>25.9755413950407</v>
      </c>
      <c r="Z24" s="32" t="n">
        <f aca="false">Y24*(1-Assumptions!$C$26)+Z17</f>
        <v>28.1863974462143</v>
      </c>
      <c r="AA24" s="32" t="n">
        <f aca="false">Z24*(1-Assumptions!$C$26)+AA17</f>
        <v>30.3198735355968</v>
      </c>
      <c r="AB24" s="32" t="n">
        <f aca="false">AA24*(1-Assumptions!$C$26)+AB17</f>
        <v>32.3786779618509</v>
      </c>
      <c r="AC24" s="32" t="n">
        <f aca="false">AB24*(1-Assumptions!$C$26)+AC17</f>
        <v>34.3654242331861</v>
      </c>
      <c r="AD24" s="32" t="n">
        <f aca="false">AC24*(1-Assumptions!$C$26)+AD17</f>
        <v>36.2826343850246</v>
      </c>
      <c r="AE24" s="32" t="n">
        <f aca="false">AD24*(1-Assumptions!$C$26)+AE17</f>
        <v>38.1327421815487</v>
      </c>
      <c r="AF24" s="32" t="n">
        <f aca="false">AE24*(1-Assumptions!$C$26)+AF17</f>
        <v>39.9180962051945</v>
      </c>
      <c r="AG24" s="32" t="n">
        <f aca="false">AF24*(1-Assumptions!$C$26)+AG17</f>
        <v>41.6409628380127</v>
      </c>
      <c r="AH24" s="32" t="n">
        <f aca="false">AG24*(1-Assumptions!$C$26)+AH17</f>
        <v>43.3035291386823</v>
      </c>
      <c r="AI24" s="32" t="n">
        <f aca="false">AH24*(1-Assumptions!$C$26)+AI17</f>
        <v>44.9079056188284</v>
      </c>
      <c r="AJ24" s="32" t="n">
        <f aca="false">AI24*(1-Assumptions!$C$26)+AJ17</f>
        <v>46.4561289221694</v>
      </c>
      <c r="AK24" s="32" t="n">
        <f aca="false">AJ24*(1-Assumptions!$C$26)+AK17</f>
        <v>47.9501644098934</v>
      </c>
      <c r="AL24" s="32" t="n">
        <f aca="false">AK24*(1-Assumptions!$C$26)+AL17</f>
        <v>49.3919086555472</v>
      </c>
      <c r="AM24" s="32" t="n">
        <f aca="false">AL24*(1-Assumptions!$C$26)+AM17</f>
        <v>50.783191852603</v>
      </c>
      <c r="AN24" s="32" t="n">
        <f aca="false">AM24*(1-Assumptions!$C$26)+AN17</f>
        <v>52.1257801377619</v>
      </c>
      <c r="AO24" s="32" t="n">
        <f aca="false">AN24*(1-Assumptions!$C$26)+AO17</f>
        <v>53.4213778329402</v>
      </c>
      <c r="AP24" s="32" t="n">
        <f aca="false">AO24*(1-Assumptions!$C$26)+AP17</f>
        <v>54.6716296087873</v>
      </c>
      <c r="AQ24" s="32" t="n">
        <f aca="false">AP24*(1-Assumptions!$C$26)+AQ17</f>
        <v>55.8781225724798</v>
      </c>
      <c r="AR24" s="32" t="n">
        <f aca="false">AQ24*(1-Assumptions!$C$26)+AR17</f>
        <v>57.042388282443</v>
      </c>
      <c r="AS24" s="32" t="n">
        <f aca="false">AR24*(1-Assumptions!$C$26)+AS17</f>
        <v>58.1659046925575</v>
      </c>
      <c r="AT24" s="32" t="n">
        <f aca="false">AS24*(1-Assumptions!$C$26)+AT17</f>
        <v>59.2500980283179</v>
      </c>
      <c r="AU24" s="32" t="n">
        <f aca="false">AT24*(1-Assumptions!$C$26)+AU17</f>
        <v>60.2963445973268</v>
      </c>
      <c r="AV24" s="32" t="n">
        <f aca="false">AU24*(1-Assumptions!$C$26)+AV17</f>
        <v>61.3059725364204</v>
      </c>
      <c r="AW24" s="32" t="n">
        <f aca="false">AV24*(1-Assumptions!$C$26)+AW17</f>
        <v>62.2802634976456</v>
      </c>
      <c r="AX24" s="32" t="n">
        <f aca="false">AW24*(1-Assumptions!$C$26)+AX17</f>
        <v>63.220454275228</v>
      </c>
      <c r="AY24" s="32" t="n">
        <f aca="false">AX24*(1-Assumptions!$C$26)+AY17</f>
        <v>64.1277383755951</v>
      </c>
      <c r="AZ24" s="32" t="n">
        <f aca="false">AY24*(1-Assumptions!$C$26)+AZ17</f>
        <v>65.0032675324492</v>
      </c>
      <c r="BA24" s="32" t="n">
        <f aca="false">AZ24*(1-Assumptions!$C$26)+BA17</f>
        <v>65.8481531688135</v>
      </c>
      <c r="BB24" s="32" t="n">
        <f aca="false">BA24*(1-Assumptions!$C$26)+BB17</f>
        <v>66.663467807905</v>
      </c>
      <c r="BC24" s="32" t="n">
        <f aca="false">BB24*(1-Assumptions!$C$26)+BC17</f>
        <v>67.4502464346284</v>
      </c>
      <c r="BD24" s="32" t="n">
        <f aca="false">BC24*(1-Assumptions!$C$26)+BD17</f>
        <v>68.2094878094164</v>
      </c>
      <c r="BE24" s="32" t="n">
        <f aca="false">BD24*(1-Assumptions!$C$26)+BE17</f>
        <v>68.9421557360868</v>
      </c>
      <c r="BF24" s="32" t="n">
        <f aca="false">BE24*(1-Assumptions!$C$26)+BF17</f>
        <v>69.6491802853238</v>
      </c>
      <c r="BG24" s="32" t="n">
        <f aca="false">BF24*(1-Assumptions!$C$26)+BG17</f>
        <v>70.3314589753374</v>
      </c>
      <c r="BH24" s="32" t="n">
        <f aca="false">BG24*(1-Assumptions!$C$26)+BH17</f>
        <v>70.9898579112006</v>
      </c>
      <c r="BI24" s="32" t="n">
        <f aca="false">BH24*(1-Assumptions!$C$26)+BI17</f>
        <v>71.6252128843086</v>
      </c>
      <c r="BJ24" s="32" t="n">
        <f aca="false">BI24*(1-Assumptions!$C$26)+BJ17</f>
        <v>72.2383304333578</v>
      </c>
    </row>
    <row r="25" customFormat="false" ht="15" hidden="false" customHeight="false" outlineLevel="0" collapsed="false">
      <c r="A25" s="5" t="s">
        <v>46</v>
      </c>
      <c r="C25" s="32" t="n">
        <f aca="false">C18</f>
        <v>0</v>
      </c>
      <c r="D25" s="32" t="n">
        <f aca="false">C25*(1-Assumptions!$C$26)+D18</f>
        <v>0</v>
      </c>
      <c r="E25" s="32" t="n">
        <f aca="false">D25*(1-Assumptions!$C$26)+E18</f>
        <v>0</v>
      </c>
      <c r="F25" s="32" t="n">
        <f aca="false">E25*(1-Assumptions!$C$26)+F18</f>
        <v>0</v>
      </c>
      <c r="G25" s="32" t="n">
        <f aca="false">F25*(1-Assumptions!$C$26)+G18</f>
        <v>0</v>
      </c>
      <c r="H25" s="32" t="n">
        <f aca="false">G25*(1-Assumptions!$C$26)+H18</f>
        <v>0</v>
      </c>
      <c r="I25" s="32" t="n">
        <f aca="false">H25*(1-Assumptions!$C$26)+I18</f>
        <v>0.1</v>
      </c>
      <c r="J25" s="32" t="n">
        <f aca="false">I25*(1-Assumptions!$C$26)+J18</f>
        <v>0.2965</v>
      </c>
      <c r="K25" s="32" t="n">
        <f aca="false">J25*(1-Assumptions!$C$26)+K18</f>
        <v>0.5861225</v>
      </c>
      <c r="L25" s="32" t="n">
        <f aca="false">K25*(1-Assumptions!$C$26)+L18</f>
        <v>0.9656082125</v>
      </c>
      <c r="M25" s="32" t="n">
        <f aca="false">L25*(1-Assumptions!$C$26)+M18</f>
        <v>1.4318119250625</v>
      </c>
      <c r="N25" s="32" t="n">
        <f aca="false">M25*(1-Assumptions!$C$26)+N18</f>
        <v>1.98169850768531</v>
      </c>
      <c r="O25" s="32" t="n">
        <f aca="false">N25*(1-Assumptions!$C$26)+O18</f>
        <v>2.61233905991633</v>
      </c>
      <c r="P25" s="32" t="n">
        <f aca="false">O25*(1-Assumptions!$C$26)+P18</f>
        <v>3.32090719281926</v>
      </c>
      <c r="Q25" s="32" t="n">
        <f aca="false">P25*(1-Assumptions!$C$26)+Q18</f>
        <v>4.10467544107058</v>
      </c>
      <c r="R25" s="32" t="n">
        <f aca="false">Q25*(1-Assumptions!$C$26)+R18</f>
        <v>4.96101180063311</v>
      </c>
      <c r="S25" s="32" t="n">
        <f aca="false">R25*(1-Assumptions!$C$26)+S18</f>
        <v>5.88737638761095</v>
      </c>
      <c r="T25" s="32" t="n">
        <f aca="false">S25*(1-Assumptions!$C$26)+T18</f>
        <v>6.88131821404457</v>
      </c>
      <c r="U25" s="32" t="n">
        <f aca="false">T25*(1-Assumptions!$C$26)+U18</f>
        <v>7.94047207655301</v>
      </c>
      <c r="V25" s="32" t="n">
        <f aca="false">U25*(1-Assumptions!$C$26)+V18</f>
        <v>9.06255555387365</v>
      </c>
      <c r="W25" s="32" t="n">
        <f aca="false">V25*(1-Assumptions!$C$26)+W18</f>
        <v>10.2453661094881</v>
      </c>
      <c r="X25" s="32" t="n">
        <f aca="false">W25*(1-Assumptions!$C$26)+X18</f>
        <v>11.386778295656</v>
      </c>
      <c r="Y25" s="32" t="n">
        <f aca="false">X25*(1-Assumptions!$C$26)+Y18</f>
        <v>12.488241055308</v>
      </c>
      <c r="Z25" s="32" t="n">
        <f aca="false">Y25*(1-Assumptions!$C$26)+Z18</f>
        <v>13.5511526183723</v>
      </c>
      <c r="AA25" s="32" t="n">
        <f aca="false">Z25*(1-Assumptions!$C$26)+AA18</f>
        <v>14.5768622767292</v>
      </c>
      <c r="AB25" s="32" t="n">
        <f aca="false">AA25*(1-Assumptions!$C$26)+AB18</f>
        <v>15.5666720970437</v>
      </c>
      <c r="AC25" s="32" t="n">
        <f aca="false">AB25*(1-Assumptions!$C$26)+AC18</f>
        <v>16.5218385736472</v>
      </c>
      <c r="AD25" s="32" t="n">
        <f aca="false">AC25*(1-Assumptions!$C$26)+AD18</f>
        <v>17.4435742235695</v>
      </c>
      <c r="AE25" s="32" t="n">
        <f aca="false">AD25*(1-Assumptions!$C$26)+AE18</f>
        <v>18.3330491257446</v>
      </c>
      <c r="AF25" s="32" t="n">
        <f aca="false">AE25*(1-Assumptions!$C$26)+AF18</f>
        <v>19.1913924063435</v>
      </c>
      <c r="AG25" s="32" t="n">
        <f aca="false">AF25*(1-Assumptions!$C$26)+AG18</f>
        <v>20.0196936721215</v>
      </c>
      <c r="AH25" s="32" t="n">
        <f aca="false">AG25*(1-Assumptions!$C$26)+AH18</f>
        <v>20.8190043935972</v>
      </c>
      <c r="AI25" s="32" t="n">
        <f aca="false">AH25*(1-Assumptions!$C$26)+AI18</f>
        <v>21.5903392398213</v>
      </c>
      <c r="AJ25" s="32" t="n">
        <f aca="false">AI25*(1-Assumptions!$C$26)+AJ18</f>
        <v>22.3346773664276</v>
      </c>
      <c r="AK25" s="32" t="n">
        <f aca="false">AJ25*(1-Assumptions!$C$26)+AK18</f>
        <v>23.0529636586026</v>
      </c>
      <c r="AL25" s="32" t="n">
        <f aca="false">AK25*(1-Assumptions!$C$26)+AL18</f>
        <v>23.7461099305515</v>
      </c>
      <c r="AM25" s="32" t="n">
        <f aca="false">AL25*(1-Assumptions!$C$26)+AM18</f>
        <v>24.4149960829822</v>
      </c>
      <c r="AN25" s="32" t="n">
        <f aca="false">AM25*(1-Assumptions!$C$26)+AN18</f>
        <v>25.0604712200779</v>
      </c>
      <c r="AO25" s="32" t="n">
        <f aca="false">AN25*(1-Assumptions!$C$26)+AO18</f>
        <v>25.6833547273751</v>
      </c>
      <c r="AP25" s="32" t="n">
        <f aca="false">AO25*(1-Assumptions!$C$26)+AP18</f>
        <v>26.284437311917</v>
      </c>
      <c r="AQ25" s="32" t="n">
        <f aca="false">AP25*(1-Assumptions!$C$26)+AQ18</f>
        <v>26.8644820059999</v>
      </c>
      <c r="AR25" s="32" t="n">
        <f aca="false">AQ25*(1-Assumptions!$C$26)+AR18</f>
        <v>27.4242251357899</v>
      </c>
      <c r="AS25" s="32" t="n">
        <f aca="false">AR25*(1-Assumptions!$C$26)+AS18</f>
        <v>27.9643772560373</v>
      </c>
      <c r="AT25" s="32" t="n">
        <f aca="false">AS25*(1-Assumptions!$C$26)+AT18</f>
        <v>28.485624052076</v>
      </c>
      <c r="AU25" s="32" t="n">
        <f aca="false">AT25*(1-Assumptions!$C$26)+AU18</f>
        <v>28.9886272102533</v>
      </c>
      <c r="AV25" s="32" t="n">
        <f aca="false">AU25*(1-Assumptions!$C$26)+AV18</f>
        <v>29.4740252578944</v>
      </c>
      <c r="AW25" s="32" t="n">
        <f aca="false">AV25*(1-Assumptions!$C$26)+AW18</f>
        <v>29.9424343738681</v>
      </c>
      <c r="AX25" s="32" t="n">
        <f aca="false">AW25*(1-Assumptions!$C$26)+AX18</f>
        <v>30.3944491707827</v>
      </c>
      <c r="AY25" s="32" t="n">
        <f aca="false">AX25*(1-Assumptions!$C$26)+AY18</f>
        <v>30.8306434498053</v>
      </c>
      <c r="AZ25" s="32" t="n">
        <f aca="false">AY25*(1-Assumptions!$C$26)+AZ18</f>
        <v>31.2515709290622</v>
      </c>
      <c r="BA25" s="32" t="n">
        <f aca="false">AZ25*(1-Assumptions!$C$26)+BA18</f>
        <v>31.657765946545</v>
      </c>
      <c r="BB25" s="32" t="n">
        <f aca="false">BA25*(1-Assumptions!$C$26)+BB18</f>
        <v>32.0497441384159</v>
      </c>
      <c r="BC25" s="32" t="n">
        <f aca="false">BB25*(1-Assumptions!$C$26)+BC18</f>
        <v>32.4280030935714</v>
      </c>
      <c r="BD25" s="32" t="n">
        <f aca="false">BC25*(1-Assumptions!$C$26)+BD18</f>
        <v>32.7930229852963</v>
      </c>
      <c r="BE25" s="32" t="n">
        <f aca="false">BD25*(1-Assumptions!$C$26)+BE18</f>
        <v>33.145267180811</v>
      </c>
      <c r="BF25" s="32" t="n">
        <f aca="false">BE25*(1-Assumptions!$C$26)+BF18</f>
        <v>33.4851828294826</v>
      </c>
      <c r="BG25" s="32" t="n">
        <f aca="false">BF25*(1-Assumptions!$C$26)+BG18</f>
        <v>33.8132014304507</v>
      </c>
      <c r="BH25" s="32" t="n">
        <f aca="false">BG25*(1-Assumptions!$C$26)+BH18</f>
        <v>34.1297393803849</v>
      </c>
      <c r="BI25" s="32" t="n">
        <f aca="false">BH25*(1-Assumptions!$C$26)+BI18</f>
        <v>34.4351985020714</v>
      </c>
      <c r="BJ25" s="32" t="n">
        <f aca="false">BI25*(1-Assumptions!$C$26)+BJ18</f>
        <v>34.7299665544989</v>
      </c>
    </row>
    <row r="26" customFormat="false" ht="15" hidden="false" customHeight="false" outlineLevel="0" collapsed="false">
      <c r="A26" s="5" t="s">
        <v>48</v>
      </c>
      <c r="C26" s="32" t="n">
        <f aca="false">C19</f>
        <v>0</v>
      </c>
      <c r="D26" s="32" t="n">
        <f aca="false">C26*(1-Assumptions!$C$26)+D19</f>
        <v>0</v>
      </c>
      <c r="E26" s="32" t="n">
        <f aca="false">D26*(1-Assumptions!$C$26)+E19</f>
        <v>0</v>
      </c>
      <c r="F26" s="32" t="n">
        <f aca="false">E26*(1-Assumptions!$C$26)+F19</f>
        <v>0</v>
      </c>
      <c r="G26" s="32" t="n">
        <f aca="false">F26*(1-Assumptions!$C$26)+G19</f>
        <v>0</v>
      </c>
      <c r="H26" s="32" t="n">
        <f aca="false">G26*(1-Assumptions!$C$26)+H19</f>
        <v>0</v>
      </c>
      <c r="I26" s="32" t="n">
        <f aca="false">H26*(1-Assumptions!$C$26)+I19</f>
        <v>0</v>
      </c>
      <c r="J26" s="32" t="n">
        <f aca="false">I26*(1-Assumptions!$C$26)+J19</f>
        <v>0</v>
      </c>
      <c r="K26" s="32" t="n">
        <f aca="false">J26*(1-Assumptions!$C$26)+K19</f>
        <v>0</v>
      </c>
      <c r="L26" s="32" t="n">
        <f aca="false">K26*(1-Assumptions!$C$26)+L19</f>
        <v>0</v>
      </c>
      <c r="M26" s="32" t="n">
        <f aca="false">L26*(1-Assumptions!$C$26)+M19</f>
        <v>0</v>
      </c>
      <c r="N26" s="32" t="n">
        <f aca="false">M26*(1-Assumptions!$C$26)+N19</f>
        <v>0</v>
      </c>
      <c r="O26" s="32" t="n">
        <f aca="false">N26*(1-Assumptions!$C$26)+O19</f>
        <v>0</v>
      </c>
      <c r="P26" s="32" t="n">
        <f aca="false">O26*(1-Assumptions!$C$26)+P19</f>
        <v>0</v>
      </c>
      <c r="Q26" s="32" t="n">
        <f aca="false">P26*(1-Assumptions!$C$26)+Q19</f>
        <v>0</v>
      </c>
      <c r="R26" s="32" t="n">
        <f aca="false">Q26*(1-Assumptions!$C$26)+R19</f>
        <v>0</v>
      </c>
      <c r="S26" s="32" t="n">
        <f aca="false">R26*(1-Assumptions!$C$26)+S19</f>
        <v>0</v>
      </c>
      <c r="T26" s="32" t="n">
        <f aca="false">S26*(1-Assumptions!$C$26)+T19</f>
        <v>0</v>
      </c>
      <c r="U26" s="32" t="n">
        <f aca="false">T26*(1-Assumptions!$C$26)+U19</f>
        <v>0.069426</v>
      </c>
      <c r="V26" s="32" t="n">
        <f aca="false">U26*(1-Assumptions!$C$26)+V19</f>
        <v>0.20584809</v>
      </c>
      <c r="W26" s="32" t="n">
        <f aca="false">V26*(1-Assumptions!$C$26)+W19</f>
        <v>0.40692140685</v>
      </c>
      <c r="X26" s="32" t="n">
        <f aca="false">W26*(1-Assumptions!$C$26)+X19</f>
        <v>0.67038315761025</v>
      </c>
      <c r="Y26" s="32" t="n">
        <f aca="false">X26*(1-Assumptions!$C$26)+Y19</f>
        <v>0.994049747093891</v>
      </c>
      <c r="Z26" s="32" t="n">
        <f aca="false">Y26*(1-Assumptions!$C$26)+Z19</f>
        <v>1.3758140059456</v>
      </c>
      <c r="AA26" s="32" t="n">
        <f aca="false">Z26*(1-Assumptions!$C$26)+AA19</f>
        <v>1.81364251573751</v>
      </c>
      <c r="AB26" s="32" t="n">
        <f aca="false">AA26*(1-Assumptions!$C$26)+AB19</f>
        <v>2.3055730276867</v>
      </c>
      <c r="AC26" s="32" t="n">
        <f aca="false">AB26*(1-Assumptions!$C$26)+AC19</f>
        <v>2.84971197171766</v>
      </c>
      <c r="AD26" s="32" t="n">
        <f aca="false">AC26*(1-Assumptions!$C$26)+AD19</f>
        <v>3.44423205270754</v>
      </c>
      <c r="AE26" s="32" t="n">
        <f aca="false">AD26*(1-Assumptions!$C$26)+AE19</f>
        <v>4.08736993086278</v>
      </c>
      <c r="AF26" s="32" t="n">
        <f aca="false">AE26*(1-Assumptions!$C$26)+AF19</f>
        <v>4.77742398328258</v>
      </c>
      <c r="AG26" s="32" t="n">
        <f aca="false">AF26*(1-Assumptions!$C$26)+AG19</f>
        <v>5.51275214386769</v>
      </c>
      <c r="AH26" s="32" t="n">
        <f aca="false">AG26*(1-Assumptions!$C$26)+AH19</f>
        <v>6.29176981883232</v>
      </c>
      <c r="AI26" s="32" t="n">
        <f aca="false">AH26*(1-Assumptions!$C$26)+AI19</f>
        <v>7.11294787517319</v>
      </c>
      <c r="AJ26" s="32" t="n">
        <f aca="false">AI26*(1-Assumptions!$C$26)+AJ19</f>
        <v>7.90538469954213</v>
      </c>
      <c r="AK26" s="32" t="n">
        <f aca="false">AJ26*(1-Assumptions!$C$26)+AK19</f>
        <v>8.67008623505815</v>
      </c>
      <c r="AL26" s="32" t="n">
        <f aca="false">AK26*(1-Assumptions!$C$26)+AL19</f>
        <v>9.40802321683112</v>
      </c>
      <c r="AM26" s="32" t="n">
        <f aca="false">AL26*(1-Assumptions!$C$26)+AM19</f>
        <v>10.120132404242</v>
      </c>
      <c r="AN26" s="32" t="n">
        <f aca="false">AM26*(1-Assumptions!$C$26)+AN19</f>
        <v>10.8073177700936</v>
      </c>
      <c r="AO26" s="32" t="n">
        <f aca="false">AN26*(1-Assumptions!$C$26)+AO19</f>
        <v>11.4704516481403</v>
      </c>
      <c r="AP26" s="32" t="n">
        <f aca="false">AO26*(1-Assumptions!$C$26)+AP19</f>
        <v>12.1103758404554</v>
      </c>
      <c r="AQ26" s="32" t="n">
        <f aca="false">AP26*(1-Assumptions!$C$26)+AQ19</f>
        <v>12.7279026860394</v>
      </c>
      <c r="AR26" s="32" t="n">
        <f aca="false">AQ26*(1-Assumptions!$C$26)+AR19</f>
        <v>13.3238160920281</v>
      </c>
      <c r="AS26" s="32" t="n">
        <f aca="false">AR26*(1-Assumptions!$C$26)+AS19</f>
        <v>13.8988725288071</v>
      </c>
      <c r="AT26" s="32" t="n">
        <f aca="false">AS26*(1-Assumptions!$C$26)+AT19</f>
        <v>14.4538019902988</v>
      </c>
      <c r="AU26" s="32" t="n">
        <f aca="false">AT26*(1-Assumptions!$C$26)+AU19</f>
        <v>14.9893089206384</v>
      </c>
      <c r="AV26" s="32" t="n">
        <f aca="false">AU26*(1-Assumptions!$C$26)+AV19</f>
        <v>15.506073108416</v>
      </c>
      <c r="AW26" s="32" t="n">
        <f aca="false">AV26*(1-Assumptions!$C$26)+AW19</f>
        <v>16.0047505496215</v>
      </c>
      <c r="AX26" s="32" t="n">
        <f aca="false">AW26*(1-Assumptions!$C$26)+AX19</f>
        <v>16.4859742803847</v>
      </c>
      <c r="AY26" s="32" t="n">
        <f aca="false">AX26*(1-Assumptions!$C$26)+AY19</f>
        <v>16.9503551805712</v>
      </c>
      <c r="AZ26" s="32" t="n">
        <f aca="false">AY26*(1-Assumptions!$C$26)+AZ19</f>
        <v>17.3984827492513</v>
      </c>
      <c r="BA26" s="32" t="n">
        <f aca="false">AZ26*(1-Assumptions!$C$26)+BA19</f>
        <v>17.8309258530275</v>
      </c>
      <c r="BB26" s="32" t="n">
        <f aca="false">BA26*(1-Assumptions!$C$26)+BB19</f>
        <v>18.2482334481715</v>
      </c>
      <c r="BC26" s="32" t="n">
        <f aca="false">BB26*(1-Assumptions!$C$26)+BC19</f>
        <v>18.6509352774855</v>
      </c>
      <c r="BD26" s="32" t="n">
        <f aca="false">BC26*(1-Assumptions!$C$26)+BD19</f>
        <v>19.0395425427735</v>
      </c>
      <c r="BE26" s="32" t="n">
        <f aca="false">BD26*(1-Assumptions!$C$26)+BE19</f>
        <v>19.4145485537764</v>
      </c>
      <c r="BF26" s="32" t="n">
        <f aca="false">BE26*(1-Assumptions!$C$26)+BF19</f>
        <v>19.7764293543943</v>
      </c>
      <c r="BG26" s="32" t="n">
        <f aca="false">BF26*(1-Assumptions!$C$26)+BG19</f>
        <v>20.1256443269905</v>
      </c>
      <c r="BH26" s="32" t="n">
        <f aca="false">BG26*(1-Assumptions!$C$26)+BH19</f>
        <v>20.4626367755458</v>
      </c>
      <c r="BI26" s="32" t="n">
        <f aca="false">BH26*(1-Assumptions!$C$26)+BI19</f>
        <v>20.7878344884017</v>
      </c>
      <c r="BJ26" s="32" t="n">
        <f aca="false">BI26*(1-Assumptions!$C$26)+BJ19</f>
        <v>21.1016502813076</v>
      </c>
    </row>
    <row r="27" customFormat="false" ht="15" hidden="false" customHeight="false" outlineLevel="0" collapsed="false">
      <c r="A27" s="5" t="s">
        <v>50</v>
      </c>
      <c r="C27" s="32" t="n">
        <f aca="false">C20</f>
        <v>0</v>
      </c>
      <c r="D27" s="32" t="n">
        <f aca="false">C27*(1-Assumptions!$C$26)+D20</f>
        <v>0</v>
      </c>
      <c r="E27" s="32" t="n">
        <f aca="false">D27*(1-Assumptions!$C$26)+E20</f>
        <v>0</v>
      </c>
      <c r="F27" s="32" t="n">
        <f aca="false">E27*(1-Assumptions!$C$26)+F20</f>
        <v>0</v>
      </c>
      <c r="G27" s="32" t="n">
        <f aca="false">F27*(1-Assumptions!$C$26)+G20</f>
        <v>0</v>
      </c>
      <c r="H27" s="32" t="n">
        <f aca="false">G27*(1-Assumptions!$C$26)+H20</f>
        <v>0</v>
      </c>
      <c r="I27" s="32" t="n">
        <f aca="false">H27*(1-Assumptions!$C$26)+I20</f>
        <v>0</v>
      </c>
      <c r="J27" s="32" t="n">
        <f aca="false">I27*(1-Assumptions!$C$26)+J20</f>
        <v>0</v>
      </c>
      <c r="K27" s="32" t="n">
        <f aca="false">J27*(1-Assumptions!$C$26)+K20</f>
        <v>0</v>
      </c>
      <c r="L27" s="32" t="n">
        <f aca="false">K27*(1-Assumptions!$C$26)+L20</f>
        <v>0</v>
      </c>
      <c r="M27" s="32" t="n">
        <f aca="false">L27*(1-Assumptions!$C$26)+M20</f>
        <v>0</v>
      </c>
      <c r="N27" s="32" t="n">
        <f aca="false">M27*(1-Assumptions!$C$26)+N20</f>
        <v>0</v>
      </c>
      <c r="O27" s="32" t="n">
        <f aca="false">N27*(1-Assumptions!$C$26)+O20</f>
        <v>0</v>
      </c>
      <c r="P27" s="32" t="n">
        <f aca="false">O27*(1-Assumptions!$C$26)+P20</f>
        <v>0</v>
      </c>
      <c r="Q27" s="32" t="n">
        <f aca="false">P27*(1-Assumptions!$C$26)+Q20</f>
        <v>0</v>
      </c>
      <c r="R27" s="32" t="n">
        <f aca="false">Q27*(1-Assumptions!$C$26)+R20</f>
        <v>0</v>
      </c>
      <c r="S27" s="32" t="n">
        <f aca="false">R27*(1-Assumptions!$C$26)+S20</f>
        <v>0</v>
      </c>
      <c r="T27" s="32" t="n">
        <f aca="false">S27*(1-Assumptions!$C$26)+T20</f>
        <v>0</v>
      </c>
      <c r="U27" s="32" t="n">
        <f aca="false">T27*(1-Assumptions!$C$26)+U20</f>
        <v>0.0466666666666667</v>
      </c>
      <c r="V27" s="32" t="n">
        <f aca="false">U27*(1-Assumptions!$C$26)+V20</f>
        <v>0.138366666666667</v>
      </c>
      <c r="W27" s="32" t="n">
        <f aca="false">V27*(1-Assumptions!$C$26)+W20</f>
        <v>0.273523833333333</v>
      </c>
      <c r="X27" s="32" t="n">
        <f aca="false">W27*(1-Assumptions!$C$26)+X20</f>
        <v>0.450617165833333</v>
      </c>
      <c r="Y27" s="32" t="n">
        <f aca="false">X27*(1-Assumptions!$C$26)+Y20</f>
        <v>0.6681788983625</v>
      </c>
      <c r="Z27" s="32" t="n">
        <f aca="false">Y27*(1-Assumptions!$C$26)+Z20</f>
        <v>0.924792636919813</v>
      </c>
      <c r="AA27" s="32" t="n">
        <f aca="false">Z27*(1-Assumptions!$C$26)+AA20</f>
        <v>1.21909156129429</v>
      </c>
      <c r="AB27" s="32" t="n">
        <f aca="false">AA27*(1-Assumptions!$C$26)+AB20</f>
        <v>1.54975668998232</v>
      </c>
      <c r="AC27" s="32" t="n">
        <f aca="false">AB27*(1-Assumptions!$C$26)+AC20</f>
        <v>1.91551520583294</v>
      </c>
      <c r="AD27" s="32" t="n">
        <f aca="false">AC27*(1-Assumptions!$C$26)+AD20</f>
        <v>2.31513884029545</v>
      </c>
      <c r="AE27" s="32" t="n">
        <f aca="false">AD27*(1-Assumptions!$C$26)+AE20</f>
        <v>2.74744231421844</v>
      </c>
      <c r="AF27" s="32" t="n">
        <f aca="false">AE27*(1-Assumptions!$C$26)+AF20</f>
        <v>3.2112818332208</v>
      </c>
      <c r="AG27" s="32" t="n">
        <f aca="false">AF27*(1-Assumptions!$C$26)+AG20</f>
        <v>3.70555363572474</v>
      </c>
      <c r="AH27" s="32" t="n">
        <f aca="false">AG27*(1-Assumptions!$C$26)+AH20</f>
        <v>4.22919259180771</v>
      </c>
      <c r="AI27" s="32" t="n">
        <f aca="false">AH27*(1-Assumptions!$C$26)+AI20</f>
        <v>4.78117085109444</v>
      </c>
      <c r="AJ27" s="32" t="n">
        <f aca="false">AI27*(1-Assumptions!$C$26)+AJ20</f>
        <v>5.31382987130613</v>
      </c>
      <c r="AK27" s="32" t="n">
        <f aca="false">AJ27*(1-Assumptions!$C$26)+AK20</f>
        <v>5.82784582581042</v>
      </c>
      <c r="AL27" s="32" t="n">
        <f aca="false">AK27*(1-Assumptions!$C$26)+AL20</f>
        <v>6.32387122190705</v>
      </c>
      <c r="AM27" s="32" t="n">
        <f aca="false">AL27*(1-Assumptions!$C$26)+AM20</f>
        <v>6.8025357291403</v>
      </c>
      <c r="AN27" s="32" t="n">
        <f aca="false">AM27*(1-Assumptions!$C$26)+AN20</f>
        <v>7.26444697862039</v>
      </c>
      <c r="AO27" s="32" t="n">
        <f aca="false">AN27*(1-Assumptions!$C$26)+AO20</f>
        <v>7.71019133436868</v>
      </c>
      <c r="AP27" s="32" t="n">
        <f aca="false">AO27*(1-Assumptions!$C$26)+AP20</f>
        <v>8.14033463766578</v>
      </c>
      <c r="AQ27" s="32" t="n">
        <f aca="false">AP27*(1-Assumptions!$C$26)+AQ20</f>
        <v>8.55542292534747</v>
      </c>
      <c r="AR27" s="32" t="n">
        <f aca="false">AQ27*(1-Assumptions!$C$26)+AR20</f>
        <v>8.95598312296031</v>
      </c>
      <c r="AS27" s="32" t="n">
        <f aca="false">AR27*(1-Assumptions!$C$26)+AS20</f>
        <v>9.3425237136567</v>
      </c>
      <c r="AT27" s="32" t="n">
        <f aca="false">AS27*(1-Assumptions!$C$26)+AT20</f>
        <v>9.71553538367871</v>
      </c>
      <c r="AU27" s="32" t="n">
        <f aca="false">AT27*(1-Assumptions!$C$26)+AU20</f>
        <v>10.07549164525</v>
      </c>
      <c r="AV27" s="32" t="n">
        <f aca="false">AU27*(1-Assumptions!$C$26)+AV20</f>
        <v>10.4228494376662</v>
      </c>
      <c r="AW27" s="32" t="n">
        <f aca="false">AV27*(1-Assumptions!$C$26)+AW20</f>
        <v>10.7580497073479</v>
      </c>
      <c r="AX27" s="32" t="n">
        <f aca="false">AW27*(1-Assumptions!$C$26)+AX20</f>
        <v>11.0815179675907</v>
      </c>
      <c r="AY27" s="32" t="n">
        <f aca="false">AX27*(1-Assumptions!$C$26)+AY20</f>
        <v>11.393664838725</v>
      </c>
      <c r="AZ27" s="32" t="n">
        <f aca="false">AY27*(1-Assumptions!$C$26)+AZ20</f>
        <v>11.6948865693697</v>
      </c>
      <c r="BA27" s="32" t="n">
        <f aca="false">AZ27*(1-Assumptions!$C$26)+BA20</f>
        <v>11.9855655394417</v>
      </c>
      <c r="BB27" s="32" t="n">
        <f aca="false">BA27*(1-Assumptions!$C$26)+BB20</f>
        <v>12.2660707455613</v>
      </c>
      <c r="BC27" s="32" t="n">
        <f aca="false">BB27*(1-Assumptions!$C$26)+BC20</f>
        <v>12.5367582694666</v>
      </c>
      <c r="BD27" s="32" t="n">
        <f aca="false">BC27*(1-Assumptions!$C$26)+BD20</f>
        <v>12.7979717300353</v>
      </c>
      <c r="BE27" s="32" t="n">
        <f aca="false">BD27*(1-Assumptions!$C$26)+BE20</f>
        <v>13.050042719484</v>
      </c>
      <c r="BF27" s="32" t="n">
        <f aca="false">BE27*(1-Assumptions!$C$26)+BF20</f>
        <v>13.2932912243021</v>
      </c>
      <c r="BG27" s="32" t="n">
        <f aca="false">BF27*(1-Assumptions!$C$26)+BG20</f>
        <v>13.5280260314515</v>
      </c>
      <c r="BH27" s="32" t="n">
        <f aca="false">BG27*(1-Assumptions!$C$26)+BH20</f>
        <v>13.7545451203507</v>
      </c>
      <c r="BI27" s="32" t="n">
        <f aca="false">BH27*(1-Assumptions!$C$26)+BI20</f>
        <v>13.9731360411384</v>
      </c>
      <c r="BJ27" s="32" t="n">
        <f aca="false">BI27*(1-Assumptions!$C$26)+BJ20</f>
        <v>14.1840762796986</v>
      </c>
    </row>
    <row r="29" customFormat="false" ht="15" hidden="false" customHeight="false" outlineLevel="0" collapsed="false">
      <c r="A29" s="10" t="s">
        <v>120</v>
      </c>
      <c r="C29" s="33" t="n">
        <f aca="false">SUM(C16:C20)</f>
        <v>0.924854</v>
      </c>
      <c r="D29" s="33" t="n">
        <f aca="false">SUM(D16:D20)</f>
        <v>1.849708</v>
      </c>
      <c r="E29" s="33" t="n">
        <f aca="false">SUM(E16:E20)</f>
        <v>2.774562</v>
      </c>
      <c r="F29" s="33" t="n">
        <f aca="false">SUM(F16:F20)</f>
        <v>3.699416</v>
      </c>
      <c r="G29" s="33" t="n">
        <f aca="false">SUM(G16:G20)</f>
        <v>4.62427</v>
      </c>
      <c r="H29" s="33" t="n">
        <f aca="false">SUM(H16:H20)</f>
        <v>5.549124</v>
      </c>
      <c r="I29" s="33" t="n">
        <f aca="false">SUM(I16:I20)</f>
        <v>6.781978</v>
      </c>
      <c r="J29" s="33" t="n">
        <f aca="false">SUM(J16:J20)</f>
        <v>8.014832</v>
      </c>
      <c r="K29" s="33" t="n">
        <f aca="false">SUM(K16:K20)</f>
        <v>9.247686</v>
      </c>
      <c r="L29" s="33" t="n">
        <f aca="false">SUM(L16:L20)</f>
        <v>10.48054</v>
      </c>
      <c r="M29" s="33" t="n">
        <f aca="false">SUM(M16:M20)</f>
        <v>11.713394</v>
      </c>
      <c r="N29" s="33" t="n">
        <f aca="false">SUM(N16:N20)</f>
        <v>12.946248</v>
      </c>
      <c r="O29" s="33" t="n">
        <f aca="false">SUM(O16:O20)</f>
        <v>14.179102</v>
      </c>
      <c r="P29" s="33" t="n">
        <f aca="false">SUM(P16:P20)</f>
        <v>15.411956</v>
      </c>
      <c r="Q29" s="33" t="n">
        <f aca="false">SUM(Q16:Q20)</f>
        <v>16.64481</v>
      </c>
      <c r="R29" s="33" t="n">
        <f aca="false">SUM(R16:R20)</f>
        <v>16.95281</v>
      </c>
      <c r="S29" s="33" t="n">
        <f aca="false">SUM(S16:S20)</f>
        <v>17.26081</v>
      </c>
      <c r="T29" s="33" t="n">
        <f aca="false">SUM(T16:T20)</f>
        <v>17.56881</v>
      </c>
      <c r="U29" s="33" t="n">
        <f aca="false">SUM(U16:U20)</f>
        <v>17.9929026666667</v>
      </c>
      <c r="V29" s="33" t="n">
        <f aca="false">SUM(V16:V20)</f>
        <v>18.4169953333333</v>
      </c>
      <c r="W29" s="33" t="n">
        <f aca="false">SUM(W16:W20)</f>
        <v>18.841088</v>
      </c>
      <c r="X29" s="33" t="n">
        <f aca="false">SUM(X16:X20)</f>
        <v>18.9571806666667</v>
      </c>
      <c r="Y29" s="33" t="n">
        <f aca="false">SUM(Y16:Y20)</f>
        <v>19.0732733333333</v>
      </c>
      <c r="Z29" s="33" t="n">
        <f aca="false">SUM(Z16:Z20)</f>
        <v>19.189366</v>
      </c>
      <c r="AA29" s="33" t="n">
        <f aca="false">SUM(AA16:AA20)</f>
        <v>19.3054586666667</v>
      </c>
      <c r="AB29" s="33" t="n">
        <f aca="false">SUM(AB16:AB20)</f>
        <v>19.4215513333333</v>
      </c>
      <c r="AC29" s="33" t="n">
        <f aca="false">SUM(AC16:AC20)</f>
        <v>19.537644</v>
      </c>
      <c r="AD29" s="33" t="n">
        <f aca="false">SUM(AD16:AD20)</f>
        <v>19.6537366666667</v>
      </c>
      <c r="AE29" s="33" t="n">
        <f aca="false">SUM(AE16:AE20)</f>
        <v>19.7698293333333</v>
      </c>
      <c r="AF29" s="33" t="n">
        <f aca="false">SUM(AF16:AF20)</f>
        <v>19.885922</v>
      </c>
      <c r="AG29" s="33" t="n">
        <f aca="false">SUM(AG16:AG20)</f>
        <v>20.0020146666667</v>
      </c>
      <c r="AH29" s="33" t="n">
        <f aca="false">SUM(AH16:AH20)</f>
        <v>20.1181073333333</v>
      </c>
      <c r="AI29" s="33" t="n">
        <f aca="false">SUM(AI16:AI20)</f>
        <v>20.2342</v>
      </c>
      <c r="AJ29" s="33" t="n">
        <f aca="false">SUM(AJ16:AJ20)</f>
        <v>20.2342</v>
      </c>
      <c r="AK29" s="33" t="n">
        <f aca="false">SUM(AK16:AK20)</f>
        <v>20.2342</v>
      </c>
      <c r="AL29" s="33" t="n">
        <f aca="false">SUM(AL16:AL20)</f>
        <v>20.2342</v>
      </c>
      <c r="AM29" s="33" t="n">
        <f aca="false">SUM(AM16:AM20)</f>
        <v>20.2342</v>
      </c>
      <c r="AN29" s="33" t="n">
        <f aca="false">SUM(AN16:AN20)</f>
        <v>20.2342</v>
      </c>
      <c r="AO29" s="33" t="n">
        <f aca="false">SUM(AO16:AO20)</f>
        <v>20.2342</v>
      </c>
      <c r="AP29" s="33" t="n">
        <f aca="false">SUM(AP16:AP20)</f>
        <v>20.2342</v>
      </c>
      <c r="AQ29" s="33" t="n">
        <f aca="false">SUM(AQ16:AQ20)</f>
        <v>20.2342</v>
      </c>
      <c r="AR29" s="33" t="n">
        <f aca="false">SUM(AR16:AR20)</f>
        <v>20.2342</v>
      </c>
      <c r="AS29" s="33" t="n">
        <f aca="false">SUM(AS16:AS20)</f>
        <v>20.2342</v>
      </c>
      <c r="AT29" s="33" t="n">
        <f aca="false">SUM(AT16:AT20)</f>
        <v>20.2342</v>
      </c>
      <c r="AU29" s="33" t="n">
        <f aca="false">SUM(AU16:AU20)</f>
        <v>20.2342</v>
      </c>
      <c r="AV29" s="33" t="n">
        <f aca="false">SUM(AV16:AV20)</f>
        <v>20.2342</v>
      </c>
      <c r="AW29" s="33" t="n">
        <f aca="false">SUM(AW16:AW20)</f>
        <v>20.2342</v>
      </c>
      <c r="AX29" s="33" t="n">
        <f aca="false">SUM(AX16:AX20)</f>
        <v>20.2342</v>
      </c>
      <c r="AY29" s="33" t="n">
        <f aca="false">SUM(AY16:AY20)</f>
        <v>20.2342</v>
      </c>
      <c r="AZ29" s="33" t="n">
        <f aca="false">SUM(AZ16:AZ20)</f>
        <v>20.2342</v>
      </c>
      <c r="BA29" s="33" t="n">
        <f aca="false">SUM(BA16:BA20)</f>
        <v>20.2342</v>
      </c>
      <c r="BB29" s="33" t="n">
        <f aca="false">SUM(BB16:BB20)</f>
        <v>20.2342</v>
      </c>
      <c r="BC29" s="33" t="n">
        <f aca="false">SUM(BC16:BC20)</f>
        <v>20.2342</v>
      </c>
      <c r="BD29" s="33" t="n">
        <f aca="false">SUM(BD16:BD20)</f>
        <v>20.2342</v>
      </c>
      <c r="BE29" s="33" t="n">
        <f aca="false">SUM(BE16:BE20)</f>
        <v>20.2342</v>
      </c>
      <c r="BF29" s="33" t="n">
        <f aca="false">SUM(BF16:BF20)</f>
        <v>20.2342</v>
      </c>
      <c r="BG29" s="33" t="n">
        <f aca="false">SUM(BG16:BG20)</f>
        <v>20.2342</v>
      </c>
      <c r="BH29" s="33" t="n">
        <f aca="false">SUM(BH16:BH20)</f>
        <v>20.2342</v>
      </c>
      <c r="BI29" s="33" t="n">
        <f aca="false">SUM(BI16:BI20)</f>
        <v>20.2342</v>
      </c>
      <c r="BJ29" s="33" t="n">
        <f aca="false">SUM(BJ16:BJ20)</f>
        <v>20.2342</v>
      </c>
    </row>
    <row r="30" customFormat="false" ht="15" hidden="false" customHeight="false" outlineLevel="0" collapsed="false">
      <c r="A30" s="5" t="s">
        <v>121</v>
      </c>
      <c r="C30" s="32" t="n">
        <v>0</v>
      </c>
      <c r="D30" s="32" t="n">
        <f aca="false">C31*Assumptions!$C$26</f>
        <v>0.03236989</v>
      </c>
      <c r="E30" s="32" t="n">
        <f aca="false">D31*Assumptions!$C$26</f>
        <v>0.09597672385</v>
      </c>
      <c r="F30" s="32" t="n">
        <f aca="false">E31*Assumptions!$C$26</f>
        <v>0.18972720851525</v>
      </c>
      <c r="G30" s="32" t="n">
        <f aca="false">F31*Assumptions!$C$26</f>
        <v>0.312566316217216</v>
      </c>
      <c r="H30" s="32" t="n">
        <f aca="false">G31*Assumptions!$C$26</f>
        <v>0.463475945149614</v>
      </c>
      <c r="I30" s="32" t="n">
        <f aca="false">H31*Assumptions!$C$26</f>
        <v>0.641473627069377</v>
      </c>
      <c r="J30" s="32" t="n">
        <f aca="false">I31*Assumptions!$C$26</f>
        <v>0.856391280121949</v>
      </c>
      <c r="K30" s="32" t="n">
        <f aca="false">J31*Assumptions!$C$26</f>
        <v>1.10693670531768</v>
      </c>
      <c r="L30" s="32" t="n">
        <f aca="false">K31*Assumptions!$C$26</f>
        <v>1.39186293063156</v>
      </c>
      <c r="M30" s="32" t="n">
        <f aca="false">L31*Assumptions!$C$26</f>
        <v>1.70996662805946</v>
      </c>
      <c r="N30" s="32" t="n">
        <f aca="false">M31*Assumptions!$C$26</f>
        <v>2.06008658607738</v>
      </c>
      <c r="O30" s="32" t="n">
        <f aca="false">N31*Assumptions!$C$26</f>
        <v>2.44110223556467</v>
      </c>
      <c r="P30" s="32" t="n">
        <f aca="false">O31*Assumptions!$C$26</f>
        <v>2.8519322273199</v>
      </c>
      <c r="Q30" s="32" t="n">
        <f aca="false">P31*Assumptions!$C$26</f>
        <v>3.29153305936371</v>
      </c>
      <c r="R30" s="32" t="n">
        <f aca="false">Q31*Assumptions!$C$26</f>
        <v>3.75889775228598</v>
      </c>
      <c r="S30" s="32" t="n">
        <f aca="false">R31*Assumptions!$C$26</f>
        <v>4.22068468095597</v>
      </c>
      <c r="T30" s="32" t="n">
        <f aca="false">S31*Assumptions!$C$26</f>
        <v>4.67708906712251</v>
      </c>
      <c r="U30" s="32" t="n">
        <f aca="false">T31*Assumptions!$C$26</f>
        <v>5.12829929977322</v>
      </c>
      <c r="V30" s="32" t="n">
        <f aca="false">U31*Assumptions!$C$26</f>
        <v>5.57856041761449</v>
      </c>
      <c r="W30" s="32" t="n">
        <f aca="false">V31*Assumptions!$C$26</f>
        <v>6.02790563966465</v>
      </c>
      <c r="X30" s="32" t="n">
        <f aca="false">W31*Assumptions!$C$26</f>
        <v>6.47636702227639</v>
      </c>
      <c r="Y30" s="32" t="n">
        <f aca="false">X31*Assumptions!$C$26</f>
        <v>6.91319549983005</v>
      </c>
      <c r="Z30" s="32" t="n">
        <f aca="false">Y31*Assumptions!$C$26</f>
        <v>7.33879822400266</v>
      </c>
      <c r="AA30" s="32" t="n">
        <f aca="false">Z31*Assumptions!$C$26</f>
        <v>7.75356809616257</v>
      </c>
      <c r="AB30" s="32" t="n">
        <f aca="false">AA31*Assumptions!$C$26</f>
        <v>8.15788426613021</v>
      </c>
      <c r="AC30" s="32" t="n">
        <f aca="false">AB31*Assumptions!$C$26</f>
        <v>8.55211261348232</v>
      </c>
      <c r="AD30" s="32" t="n">
        <f aca="false">AC31*Assumptions!$C$26</f>
        <v>8.93660621201044</v>
      </c>
      <c r="AE30" s="32" t="n">
        <f aca="false">AD31*Assumptions!$C$26</f>
        <v>9.31170577792341</v>
      </c>
      <c r="AF30" s="32" t="n">
        <f aca="false">AE31*Assumptions!$C$26</f>
        <v>9.67774010236275</v>
      </c>
      <c r="AG30" s="32" t="n">
        <f aca="false">AF31*Assumptions!$C$26</f>
        <v>10.0350264687801</v>
      </c>
      <c r="AH30" s="32" t="n">
        <f aca="false">AG31*Assumptions!$C$26</f>
        <v>10.3838710557061</v>
      </c>
      <c r="AI30" s="32" t="n">
        <f aca="false">AH31*Assumptions!$C$26</f>
        <v>10.724569325423</v>
      </c>
      <c r="AJ30" s="32" t="n">
        <f aca="false">AI31*Assumptions!$C$26</f>
        <v>11.0574063990332</v>
      </c>
      <c r="AK30" s="32" t="n">
        <f aca="false">AJ31*Assumptions!$C$26</f>
        <v>11.3785941750671</v>
      </c>
      <c r="AL30" s="32" t="n">
        <f aca="false">AK31*Assumptions!$C$26</f>
        <v>11.6885403789397</v>
      </c>
      <c r="AM30" s="32" t="n">
        <f aca="false">AL31*Assumptions!$C$26</f>
        <v>11.9876384656768</v>
      </c>
      <c r="AN30" s="32" t="n">
        <f aca="false">AM31*Assumptions!$C$26</f>
        <v>12.2762681193781</v>
      </c>
      <c r="AO30" s="32" t="n">
        <f aca="false">AN31*Assumptions!$C$26</f>
        <v>12.5547957351999</v>
      </c>
      <c r="AP30" s="32" t="n">
        <f aca="false">AO31*Assumptions!$C$26</f>
        <v>12.8235748844679</v>
      </c>
      <c r="AQ30" s="32" t="n">
        <f aca="false">AP31*Assumptions!$C$26</f>
        <v>13.0829467635115</v>
      </c>
      <c r="AR30" s="32" t="n">
        <f aca="false">AQ31*Assumptions!$C$26</f>
        <v>13.3332406267886</v>
      </c>
      <c r="AS30" s="32" t="n">
        <f aca="false">AR31*Assumptions!$C$26</f>
        <v>13.574774204851</v>
      </c>
      <c r="AT30" s="32" t="n">
        <f aca="false">AS31*Assumptions!$C$26</f>
        <v>13.8078541076812</v>
      </c>
      <c r="AU30" s="32" t="n">
        <f aca="false">AT31*Assumptions!$C$26</f>
        <v>14.0327762139124</v>
      </c>
      <c r="AV30" s="32" t="n">
        <f aca="false">AU31*Assumptions!$C$26</f>
        <v>14.2498260464255</v>
      </c>
      <c r="AW30" s="32" t="n">
        <f aca="false">AV31*Assumptions!$C$26</f>
        <v>14.4592791348006</v>
      </c>
      <c r="AX30" s="32" t="n">
        <f aca="false">AW31*Assumptions!$C$26</f>
        <v>14.6614013650825</v>
      </c>
      <c r="AY30" s="32" t="n">
        <f aca="false">AX31*Assumptions!$C$26</f>
        <v>14.8564493173047</v>
      </c>
      <c r="AZ30" s="32" t="n">
        <f aca="false">AY31*Assumptions!$C$26</f>
        <v>15.044670591199</v>
      </c>
      <c r="BA30" s="32" t="n">
        <f aca="false">AZ31*Assumptions!$C$26</f>
        <v>15.226304120507</v>
      </c>
      <c r="BB30" s="32" t="n">
        <f aca="false">BA31*Assumptions!$C$26</f>
        <v>15.4015804762893</v>
      </c>
      <c r="BC30" s="32" t="n">
        <f aca="false">BB31*Assumptions!$C$26</f>
        <v>15.5707221596192</v>
      </c>
      <c r="BD30" s="32" t="n">
        <f aca="false">BC31*Assumptions!$C$26</f>
        <v>15.7339438840325</v>
      </c>
      <c r="BE30" s="32" t="n">
        <f aca="false">BD31*Assumptions!$C$26</f>
        <v>15.8914528480914</v>
      </c>
      <c r="BF30" s="32" t="n">
        <f aca="false">BE31*Assumptions!$C$26</f>
        <v>16.0434489984082</v>
      </c>
      <c r="BG30" s="32" t="n">
        <f aca="false">BF31*Assumptions!$C$26</f>
        <v>16.1901252834639</v>
      </c>
      <c r="BH30" s="32" t="n">
        <f aca="false">BG31*Assumptions!$C$26</f>
        <v>16.3316678985426</v>
      </c>
      <c r="BI30" s="32" t="n">
        <f aca="false">BH31*Assumptions!$C$26</f>
        <v>16.4682565220936</v>
      </c>
      <c r="BJ30" s="32" t="n">
        <f aca="false">BI31*Assumptions!$C$26</f>
        <v>16.6000645438204</v>
      </c>
    </row>
    <row r="31" customFormat="false" ht="15" hidden="false" customHeight="false" outlineLevel="0" collapsed="false">
      <c r="A31" s="10" t="s">
        <v>122</v>
      </c>
      <c r="C31" s="33" t="n">
        <f aca="false">SUM(C23:C27)</f>
        <v>0.924854</v>
      </c>
      <c r="D31" s="33" t="n">
        <f aca="false">SUM(D23:D27)</f>
        <v>2.74219211</v>
      </c>
      <c r="E31" s="33" t="n">
        <f aca="false">SUM(E23:E27)</f>
        <v>5.42077738615</v>
      </c>
      <c r="F31" s="33" t="n">
        <f aca="false">SUM(F23:F27)</f>
        <v>8.93046617763475</v>
      </c>
      <c r="G31" s="33" t="n">
        <f aca="false">SUM(G23:G27)</f>
        <v>13.2421698614175</v>
      </c>
      <c r="H31" s="33" t="n">
        <f aca="false">SUM(H23:H27)</f>
        <v>18.3278179162679</v>
      </c>
      <c r="I31" s="33" t="n">
        <f aca="false">SUM(I23:I27)</f>
        <v>24.4683222891985</v>
      </c>
      <c r="J31" s="33" t="n">
        <f aca="false">SUM(J23:J27)</f>
        <v>31.6267630090766</v>
      </c>
      <c r="K31" s="33" t="n">
        <f aca="false">SUM(K23:K27)</f>
        <v>39.7675123037589</v>
      </c>
      <c r="L31" s="33" t="n">
        <f aca="false">SUM(L23:L27)</f>
        <v>48.8561893731273</v>
      </c>
      <c r="M31" s="33" t="n">
        <f aca="false">SUM(M23:M27)</f>
        <v>58.8596167450679</v>
      </c>
      <c r="N31" s="33" t="n">
        <f aca="false">SUM(N23:N27)</f>
        <v>69.7457781589905</v>
      </c>
      <c r="O31" s="33" t="n">
        <f aca="false">SUM(O23:O27)</f>
        <v>81.4837779234258</v>
      </c>
      <c r="P31" s="33" t="n">
        <f aca="false">SUM(P23:P27)</f>
        <v>94.0438016961059</v>
      </c>
      <c r="Q31" s="33" t="n">
        <f aca="false">SUM(Q23:Q27)</f>
        <v>107.397078636742</v>
      </c>
      <c r="R31" s="33" t="n">
        <f aca="false">SUM(R23:R27)</f>
        <v>120.590990884456</v>
      </c>
      <c r="S31" s="33" t="n">
        <f aca="false">SUM(S23:S27)</f>
        <v>133.6311162035</v>
      </c>
      <c r="T31" s="33" t="n">
        <f aca="false">SUM(T23:T27)</f>
        <v>146.522837136378</v>
      </c>
      <c r="U31" s="33" t="n">
        <f aca="false">SUM(U23:U27)</f>
        <v>159.387440503271</v>
      </c>
      <c r="V31" s="33" t="n">
        <f aca="false">SUM(V23:V27)</f>
        <v>172.22587541899</v>
      </c>
      <c r="W31" s="33" t="n">
        <f aca="false">SUM(W23:W27)</f>
        <v>185.039057779325</v>
      </c>
      <c r="X31" s="33" t="n">
        <f aca="false">SUM(X23:X27)</f>
        <v>197.519871423716</v>
      </c>
      <c r="Y31" s="33" t="n">
        <f aca="false">SUM(Y23:Y27)</f>
        <v>209.679949257219</v>
      </c>
      <c r="Z31" s="33" t="n">
        <f aca="false">SUM(Z23:Z27)</f>
        <v>221.530517033216</v>
      </c>
      <c r="AA31" s="33" t="n">
        <f aca="false">SUM(AA23:AA27)</f>
        <v>233.08240760372</v>
      </c>
      <c r="AB31" s="33" t="n">
        <f aca="false">SUM(AB23:AB27)</f>
        <v>244.346074670923</v>
      </c>
      <c r="AC31" s="33" t="n">
        <f aca="false">SUM(AC23:AC27)</f>
        <v>255.331606057441</v>
      </c>
      <c r="AD31" s="33" t="n">
        <f aca="false">SUM(AD23:AD27)</f>
        <v>266.048736512097</v>
      </c>
      <c r="AE31" s="33" t="n">
        <f aca="false">SUM(AE23:AE27)</f>
        <v>276.506860067507</v>
      </c>
      <c r="AF31" s="33" t="n">
        <f aca="false">SUM(AF23:AF27)</f>
        <v>286.715041965144</v>
      </c>
      <c r="AG31" s="33" t="n">
        <f aca="false">SUM(AG23:AG27)</f>
        <v>296.682030163031</v>
      </c>
      <c r="AH31" s="33" t="n">
        <f aca="false">SUM(AH23:AH27)</f>
        <v>306.416266440658</v>
      </c>
      <c r="AI31" s="33" t="n">
        <f aca="false">SUM(AI23:AI27)</f>
        <v>315.925897115235</v>
      </c>
      <c r="AJ31" s="33" t="n">
        <f aca="false">SUM(AJ23:AJ27)</f>
        <v>325.102690716202</v>
      </c>
      <c r="AK31" s="33" t="n">
        <f aca="false">SUM(AK23:AK27)</f>
        <v>333.958296541135</v>
      </c>
      <c r="AL31" s="33" t="n">
        <f aca="false">SUM(AL23:AL27)</f>
        <v>342.503956162195</v>
      </c>
      <c r="AM31" s="33" t="n">
        <f aca="false">SUM(AM23:AM27)</f>
        <v>350.750517696518</v>
      </c>
      <c r="AN31" s="33" t="n">
        <f aca="false">SUM(AN23:AN27)</f>
        <v>358.70844957714</v>
      </c>
      <c r="AO31" s="33" t="n">
        <f aca="false">SUM(AO23:AO27)</f>
        <v>366.38785384194</v>
      </c>
      <c r="AP31" s="33" t="n">
        <f aca="false">SUM(AP23:AP27)</f>
        <v>373.798478957472</v>
      </c>
      <c r="AQ31" s="33" t="n">
        <f aca="false">SUM(AQ23:AQ27)</f>
        <v>380.949732193961</v>
      </c>
      <c r="AR31" s="33" t="n">
        <f aca="false">SUM(AR23:AR27)</f>
        <v>387.850691567172</v>
      </c>
      <c r="AS31" s="33" t="n">
        <f aca="false">SUM(AS23:AS27)</f>
        <v>394.510117362321</v>
      </c>
      <c r="AT31" s="33" t="n">
        <f aca="false">SUM(AT23:AT27)</f>
        <v>400.93646325464</v>
      </c>
      <c r="AU31" s="33" t="n">
        <f aca="false">SUM(AU23:AU27)</f>
        <v>407.137887040727</v>
      </c>
      <c r="AV31" s="33" t="n">
        <f aca="false">SUM(AV23:AV27)</f>
        <v>413.122260994302</v>
      </c>
      <c r="AW31" s="33" t="n">
        <f aca="false">SUM(AW23:AW27)</f>
        <v>418.897181859501</v>
      </c>
      <c r="AX31" s="33" t="n">
        <f aca="false">SUM(AX23:AX27)</f>
        <v>424.469980494419</v>
      </c>
      <c r="AY31" s="33" t="n">
        <f aca="false">SUM(AY23:AY27)</f>
        <v>429.847731177114</v>
      </c>
      <c r="AZ31" s="33" t="n">
        <f aca="false">SUM(AZ23:AZ27)</f>
        <v>435.037260585915</v>
      </c>
      <c r="BA31" s="33" t="n">
        <f aca="false">SUM(BA23:BA27)</f>
        <v>440.045156465408</v>
      </c>
      <c r="BB31" s="33" t="n">
        <f aca="false">SUM(BB23:BB27)</f>
        <v>444.877775989119</v>
      </c>
      <c r="BC31" s="33" t="n">
        <f aca="false">SUM(BC23:BC27)</f>
        <v>449.5412538295</v>
      </c>
      <c r="BD31" s="33" t="n">
        <f aca="false">SUM(BD23:BD27)</f>
        <v>454.041509945467</v>
      </c>
      <c r="BE31" s="33" t="n">
        <f aca="false">SUM(BE23:BE27)</f>
        <v>458.384257097376</v>
      </c>
      <c r="BF31" s="33" t="n">
        <f aca="false">SUM(BF23:BF27)</f>
        <v>462.575008098968</v>
      </c>
      <c r="BG31" s="33" t="n">
        <f aca="false">SUM(BG23:BG27)</f>
        <v>466.619082815504</v>
      </c>
      <c r="BH31" s="33" t="n">
        <f aca="false">SUM(BH23:BH27)</f>
        <v>470.521614916961</v>
      </c>
      <c r="BI31" s="33" t="n">
        <f aca="false">SUM(BI23:BI27)</f>
        <v>474.287558394868</v>
      </c>
      <c r="BJ31" s="33" t="n">
        <f aca="false">SUM(BJ23:BJ27)</f>
        <v>477.921693851047</v>
      </c>
    </row>
    <row r="33" customFormat="false" ht="15" hidden="false" customHeight="false" outlineLevel="0" collapsed="false">
      <c r="A33" s="10" t="s">
        <v>123</v>
      </c>
      <c r="C33" s="11" t="n">
        <f aca="false">SUMPRODUCT(C23:C27,Assumptions!$I$6:$I$10)*Assumptions!$B$22/Assumptions!$B$21*C6</f>
        <v>47.4450102</v>
      </c>
      <c r="D33" s="11" t="n">
        <f aca="false">SUMPRODUCT(D23:D27,Assumptions!$I$6:$I$10)*Assumptions!$B$22/Assumptions!$B$21*D6</f>
        <v>140.674455243</v>
      </c>
      <c r="E33" s="11" t="n">
        <f aca="false">SUMPRODUCT(E23:E27,Assumptions!$I$6:$I$10)*Assumptions!$B$22/Assumptions!$B$21*E6</f>
        <v>278.085879909495</v>
      </c>
      <c r="F33" s="11" t="n">
        <f aca="false">SUMPRODUCT(F23:F27,Assumptions!$I$6:$I$10)*Assumptions!$B$22/Assumptions!$B$21*F6</f>
        <v>458.132914912663</v>
      </c>
      <c r="G33" s="11" t="n">
        <f aca="false">SUMPRODUCT(G23:G27,Assumptions!$I$6:$I$10)*Assumptions!$B$22/Assumptions!$B$21*G6</f>
        <v>679.323313890719</v>
      </c>
      <c r="H33" s="11" t="n">
        <f aca="false">SUMPRODUCT(H23:H27,Assumptions!$I$6:$I$10)*Assumptions!$B$22/Assumptions!$B$21*H6</f>
        <v>940.217059104544</v>
      </c>
      <c r="I33" s="11" t="n">
        <f aca="false">SUMPRODUCT(I23:I27,Assumptions!$I$6:$I$10)*Assumptions!$B$22/Assumptions!$B$21*I6</f>
        <v>1257.06147343589</v>
      </c>
      <c r="J33" s="11" t="n">
        <f aca="false">SUMPRODUCT(J23:J27,Assumptions!$I$6:$I$10)*Assumptions!$B$22/Assumptions!$B$21*J6</f>
        <v>1627.89828346563</v>
      </c>
      <c r="K33" s="11" t="n">
        <f aca="false">SUMPRODUCT(K23:K27,Assumptions!$I$6:$I$10)*Assumptions!$B$22/Assumptions!$B$21*K6</f>
        <v>2050.83775534433</v>
      </c>
      <c r="L33" s="11" t="n">
        <f aca="false">SUMPRODUCT(L23:L27,Assumptions!$I$6:$I$10)*Assumptions!$B$22/Assumptions!$B$21*L6</f>
        <v>2524.05629590728</v>
      </c>
      <c r="M33" s="11" t="n">
        <f aca="false">SUMPRODUCT(M23:M27,Assumptions!$I$6:$I$10)*Assumptions!$B$22/Assumptions!$B$21*M6</f>
        <v>3045.79413775053</v>
      </c>
      <c r="N33" s="11" t="n">
        <f aca="false">SUMPRODUCT(N23:N27,Assumptions!$I$6:$I$10)*Assumptions!$B$22/Assumptions!$B$21*N6</f>
        <v>3614.35310532926</v>
      </c>
      <c r="O33" s="11" t="n">
        <f aca="false">SUMPRODUCT(O23:O27,Assumptions!$I$6:$I$10)*Assumptions!$B$22/Assumptions!$B$21*O6</f>
        <v>4228.09445924273</v>
      </c>
      <c r="P33" s="11" t="n">
        <f aca="false">SUMPRODUCT(P23:P27,Assumptions!$I$6:$I$10)*Assumptions!$B$22/Assumptions!$B$21*P6</f>
        <v>4885.43681596924</v>
      </c>
      <c r="Q33" s="11" t="n">
        <f aca="false">SUMPRODUCT(Q23:Q27,Assumptions!$I$6:$I$10)*Assumptions!$B$22/Assumptions!$B$21*Q6</f>
        <v>5584.85414041031</v>
      </c>
      <c r="R33" s="11" t="n">
        <f aca="false">SUMPRODUCT(R23:R27,Assumptions!$I$6:$I$10)*Assumptions!$B$22/Assumptions!$B$21*R6</f>
        <v>6277.42879849595</v>
      </c>
      <c r="S33" s="11" t="n">
        <f aca="false">SUMPRODUCT(S23:S27,Assumptions!$I$6:$I$10)*Assumptions!$B$22/Assumptions!$B$21*S6</f>
        <v>6963.40028354859</v>
      </c>
      <c r="T33" s="11" t="n">
        <f aca="false">SUMPRODUCT(T23:T27,Assumptions!$I$6:$I$10)*Assumptions!$B$22/Assumptions!$B$21*T6</f>
        <v>7642.99970662439</v>
      </c>
      <c r="U33" s="11" t="n">
        <f aca="false">SUMPRODUCT(U23:U27,Assumptions!$I$6:$I$10)*Assumptions!$B$22/Assumptions!$B$21*U6</f>
        <v>8324.78786521254</v>
      </c>
      <c r="V33" s="11" t="n">
        <f aca="false">SUMPRODUCT(V23:V27,Assumptions!$I$6:$I$10)*Assumptions!$B$22/Assumptions!$B$21*V6</f>
        <v>9008.6881535701</v>
      </c>
      <c r="W33" s="11" t="n">
        <f aca="false">SUMPRODUCT(W23:W27,Assumptions!$I$6:$I$10)*Assumptions!$B$22/Assumptions!$B$21*W6</f>
        <v>9694.62664715514</v>
      </c>
      <c r="X33" s="11" t="n">
        <f aca="false">SUMPRODUCT(X23:X27,Assumptions!$I$6:$I$10)*Assumptions!$B$22/Assumptions!$B$21*X6</f>
        <v>10364.8950687847</v>
      </c>
      <c r="Y33" s="11" t="n">
        <f aca="false">SUMPRODUCT(Y23:Y27,Assumptions!$I$6:$I$10)*Assumptions!$B$22/Assumptions!$B$21*Y6</f>
        <v>11020.0418709772</v>
      </c>
      <c r="Z33" s="11" t="n">
        <f aca="false">SUMPRODUCT(Z23:Z27,Assumptions!$I$6:$I$10)*Assumptions!$B$22/Assumptions!$B$21*Z6</f>
        <v>11660.596310413</v>
      </c>
      <c r="AA33" s="11" t="n">
        <f aca="false">SUMPRODUCT(AA23:AA27,Assumptions!$I$6:$I$10)*Assumptions!$B$22/Assumptions!$B$21*AA6</f>
        <v>12287.0691197886</v>
      </c>
      <c r="AB33" s="11" t="n">
        <f aca="false">SUMPRODUCT(AB23:AB27,Assumptions!$I$6:$I$10)*Assumptions!$B$22/Assumptions!$B$21*AB6</f>
        <v>12899.953156156</v>
      </c>
      <c r="AC33" s="11" t="n">
        <f aca="false">SUMPRODUCT(AC23:AC27,Assumptions!$I$6:$I$10)*Assumptions!$B$22/Assumptions!$B$21*AC6</f>
        <v>13499.7240265705</v>
      </c>
      <c r="AD33" s="11" t="n">
        <f aca="false">SUMPRODUCT(AD23:AD27,Assumptions!$I$6:$I$10)*Assumptions!$B$22/Assumptions!$B$21*AD6</f>
        <v>14086.8406918406</v>
      </c>
      <c r="AE33" s="11" t="n">
        <f aca="false">SUMPRODUCT(AE23:AE27,Assumptions!$I$6:$I$10)*Assumptions!$B$22/Assumptions!$B$21*AE6</f>
        <v>14661.7460491461</v>
      </c>
      <c r="AF33" s="11" t="n">
        <f aca="false">SUMPRODUCT(AF23:AF27,Assumptions!$I$6:$I$10)*Assumptions!$B$22/Assumptions!$B$21*AF6</f>
        <v>15224.867494266</v>
      </c>
      <c r="AG33" s="11" t="n">
        <f aca="false">SUMPRODUCT(AG23:AG27,Assumptions!$I$6:$I$10)*Assumptions!$B$22/Assumptions!$B$21*AG6</f>
        <v>15776.6174641267</v>
      </c>
      <c r="AH33" s="11" t="n">
        <f aca="false">SUMPRODUCT(AH23:AH27,Assumptions!$I$6:$I$10)*Assumptions!$B$22/Assumptions!$B$21*AH6</f>
        <v>16317.3939603623</v>
      </c>
      <c r="AI33" s="11" t="n">
        <f aca="false">SUMPRODUCT(AI23:AI27,Assumptions!$I$6:$I$10)*Assumptions!$B$22/Assumptions!$B$21*AI6</f>
        <v>16847.5810545496</v>
      </c>
      <c r="AJ33" s="11" t="n">
        <f aca="false">SUMPRODUCT(AJ23:AJ27,Assumptions!$I$6:$I$10)*Assumptions!$B$22/Assumptions!$B$21*AJ6</f>
        <v>17359.2116004404</v>
      </c>
      <c r="AK33" s="11" t="n">
        <f aca="false">SUMPRODUCT(AK23:AK27,Assumptions!$I$6:$I$10)*Assumptions!$B$22/Assumptions!$B$21*AK6</f>
        <v>17852.9350772249</v>
      </c>
      <c r="AL33" s="11" t="n">
        <f aca="false">SUMPRODUCT(AL23:AL27,Assumptions!$I$6:$I$10)*Assumptions!$B$22/Assumptions!$B$21*AL6</f>
        <v>18329.3782323221</v>
      </c>
      <c r="AM33" s="11" t="n">
        <f aca="false">SUMPRODUCT(AM23:AM27,Assumptions!$I$6:$I$10)*Assumptions!$B$22/Assumptions!$B$21*AM6</f>
        <v>18789.1458769908</v>
      </c>
      <c r="AN33" s="11" t="n">
        <f aca="false">SUMPRODUCT(AN23:AN27,Assumptions!$I$6:$I$10)*Assumptions!$B$22/Assumptions!$B$21*AN6</f>
        <v>19232.8216540961</v>
      </c>
      <c r="AO33" s="11" t="n">
        <f aca="false">SUMPRODUCT(AO23:AO27,Assumptions!$I$6:$I$10)*Assumptions!$B$22/Assumptions!$B$21*AO6</f>
        <v>19660.9687790027</v>
      </c>
      <c r="AP33" s="11" t="n">
        <f aca="false">SUMPRODUCT(AP23:AP27,Assumptions!$I$6:$I$10)*Assumptions!$B$22/Assumptions!$B$21*AP6</f>
        <v>20074.1307545377</v>
      </c>
      <c r="AQ33" s="11" t="n">
        <f aca="false">SUMPRODUCT(AQ23:AQ27,Assumptions!$I$6:$I$10)*Assumptions!$B$22/Assumptions!$B$21*AQ6</f>
        <v>20472.8320609288</v>
      </c>
      <c r="AR33" s="11" t="n">
        <f aca="false">SUMPRODUCT(AR23:AR27,Assumptions!$I$6:$I$10)*Assumptions!$B$22/Assumptions!$B$21*AR6</f>
        <v>20857.5788215963</v>
      </c>
      <c r="AS33" s="11" t="n">
        <f aca="false">SUMPRODUCT(AS23:AS27,Assumptions!$I$6:$I$10)*Assumptions!$B$22/Assumptions!$B$21*AS6</f>
        <v>21228.8594456405</v>
      </c>
      <c r="AT33" s="11" t="n">
        <f aca="false">SUMPRODUCT(AT23:AT27,Assumptions!$I$6:$I$10)*Assumptions!$B$22/Assumptions!$B$21*AT6</f>
        <v>21587.145247843</v>
      </c>
      <c r="AU33" s="11" t="n">
        <f aca="false">SUMPRODUCT(AU23:AU27,Assumptions!$I$6:$I$10)*Assumptions!$B$22/Assumptions!$B$21*AU6</f>
        <v>21932.8910469685</v>
      </c>
      <c r="AV33" s="11" t="n">
        <f aca="false">SUMPRODUCT(AV23:AV27,Assumptions!$I$6:$I$10)*Assumptions!$B$22/Assumptions!$B$21*AV6</f>
        <v>22266.5357431246</v>
      </c>
      <c r="AW33" s="11" t="n">
        <f aca="false">SUMPRODUCT(AW23:AW27,Assumptions!$I$6:$I$10)*Assumptions!$B$22/Assumptions!$B$21*AW6</f>
        <v>22588.5028749153</v>
      </c>
      <c r="AX33" s="11" t="n">
        <f aca="false">SUMPRODUCT(AX23:AX27,Assumptions!$I$6:$I$10)*Assumptions!$B$22/Assumptions!$B$21*AX6</f>
        <v>22899.2011570932</v>
      </c>
      <c r="AY33" s="11" t="n">
        <f aca="false">SUMPRODUCT(AY23:AY27,Assumptions!$I$6:$I$10)*Assumptions!$B$22/Assumptions!$B$21*AY6</f>
        <v>23199.024999395</v>
      </c>
      <c r="AZ33" s="11" t="n">
        <f aca="false">SUMPRODUCT(AZ23:AZ27,Assumptions!$I$6:$I$10)*Assumptions!$B$22/Assumptions!$B$21*AZ6</f>
        <v>23488.3550072162</v>
      </c>
      <c r="BA33" s="11" t="n">
        <f aca="false">SUMPRODUCT(BA23:BA27,Assumptions!$I$6:$I$10)*Assumptions!$B$22/Assumptions!$B$21*BA6</f>
        <v>23767.5584647636</v>
      </c>
      <c r="BB33" s="11" t="n">
        <f aca="false">SUMPRODUCT(BB23:BB27,Assumptions!$I$6:$I$10)*Assumptions!$B$22/Assumptions!$B$21*BB6</f>
        <v>24036.9898012969</v>
      </c>
      <c r="BC33" s="11" t="n">
        <f aca="false">SUMPRODUCT(BC23:BC27,Assumptions!$I$6:$I$10)*Assumptions!$B$22/Assumptions!$B$21*BC6</f>
        <v>24296.9910410515</v>
      </c>
      <c r="BD33" s="11" t="n">
        <f aca="false">SUMPRODUCT(BD23:BD27,Assumptions!$I$6:$I$10)*Assumptions!$B$22/Assumptions!$B$21*BD6</f>
        <v>24547.8922374147</v>
      </c>
      <c r="BE33" s="11" t="n">
        <f aca="false">SUMPRODUCT(BE23:BE27,Assumptions!$I$6:$I$10)*Assumptions!$B$22/Assumptions!$B$21*BE6</f>
        <v>24790.0118919052</v>
      </c>
      <c r="BF33" s="11" t="n">
        <f aca="false">SUMPRODUCT(BF23:BF27,Assumptions!$I$6:$I$10)*Assumptions!$B$22/Assumptions!$B$21*BF6</f>
        <v>25023.6573584885</v>
      </c>
      <c r="BG33" s="11" t="n">
        <f aca="false">SUMPRODUCT(BG23:BG27,Assumptions!$I$6:$I$10)*Assumptions!$B$22/Assumptions!$B$21*BG6</f>
        <v>25249.1252337414</v>
      </c>
      <c r="BH33" s="11" t="n">
        <f aca="false">SUMPRODUCT(BH23:BH27,Assumptions!$I$6:$I$10)*Assumptions!$B$22/Assumptions!$B$21*BH6</f>
        <v>25466.7017333604</v>
      </c>
      <c r="BI33" s="11" t="n">
        <f aca="false">SUMPRODUCT(BI23:BI27,Assumptions!$I$6:$I$10)*Assumptions!$B$22/Assumptions!$B$21*BI6</f>
        <v>25676.6630554928</v>
      </c>
      <c r="BJ33" s="11" t="n">
        <f aca="false">SUMPRODUCT(BJ23:BJ27,Assumptions!$I$6:$I$10)*Assumptions!$B$22/Assumptions!$B$21*BJ6</f>
        <v>25879.2757313506</v>
      </c>
    </row>
    <row r="34" customFormat="false" ht="15" hidden="false" customHeight="false" outlineLevel="0" collapsed="false">
      <c r="A34" s="10" t="s">
        <v>124</v>
      </c>
      <c r="C34" s="11" t="n">
        <f aca="false">C33*12</f>
        <v>569.3401224</v>
      </c>
      <c r="D34" s="11" t="n">
        <f aca="false">D33*12</f>
        <v>1688.093462916</v>
      </c>
      <c r="E34" s="11" t="n">
        <f aca="false">E33*12</f>
        <v>3337.03055891394</v>
      </c>
      <c r="F34" s="11" t="n">
        <f aca="false">F33*12</f>
        <v>5497.59497895195</v>
      </c>
      <c r="G34" s="11" t="n">
        <f aca="false">G33*12</f>
        <v>8151.87976668863</v>
      </c>
      <c r="H34" s="11" t="n">
        <f aca="false">H33*12</f>
        <v>11282.6047092545</v>
      </c>
      <c r="I34" s="11" t="n">
        <f aca="false">I33*12</f>
        <v>15084.7376812306</v>
      </c>
      <c r="J34" s="11" t="n">
        <f aca="false">J33*12</f>
        <v>19534.7794015875</v>
      </c>
      <c r="K34" s="11" t="n">
        <f aca="false">K33*12</f>
        <v>24610.053064132</v>
      </c>
      <c r="L34" s="11" t="n">
        <f aca="false">L33*12</f>
        <v>30288.6755508874</v>
      </c>
      <c r="M34" s="11" t="n">
        <f aca="false">M33*12</f>
        <v>36549.5296530063</v>
      </c>
      <c r="N34" s="11" t="n">
        <f aca="false">N33*12</f>
        <v>43372.2372639511</v>
      </c>
      <c r="O34" s="11" t="n">
        <f aca="false">O33*12</f>
        <v>50737.1335109128</v>
      </c>
      <c r="P34" s="11" t="n">
        <f aca="false">P33*12</f>
        <v>58625.2417916308</v>
      </c>
      <c r="Q34" s="11" t="n">
        <f aca="false">Q33*12</f>
        <v>67018.2496849238</v>
      </c>
      <c r="R34" s="11" t="n">
        <f aca="false">R33*12</f>
        <v>75329.1455819514</v>
      </c>
      <c r="S34" s="11" t="n">
        <f aca="false">S33*12</f>
        <v>83560.8034025831</v>
      </c>
      <c r="T34" s="11" t="n">
        <f aca="false">T33*12</f>
        <v>91715.9964794927</v>
      </c>
      <c r="U34" s="11" t="n">
        <f aca="false">U33*12</f>
        <v>99897.4543825505</v>
      </c>
      <c r="V34" s="11" t="n">
        <f aca="false">V33*12</f>
        <v>108104.257842841</v>
      </c>
      <c r="W34" s="11" t="n">
        <f aca="false">W33*12</f>
        <v>116335.519765862</v>
      </c>
      <c r="X34" s="11" t="n">
        <f aca="false">X33*12</f>
        <v>124378.740825417</v>
      </c>
      <c r="Y34" s="11" t="n">
        <f aca="false">Y33*12</f>
        <v>132240.502451727</v>
      </c>
      <c r="Z34" s="11" t="n">
        <f aca="false">Z33*12</f>
        <v>139927.155724957</v>
      </c>
      <c r="AA34" s="11" t="n">
        <f aca="false">AA33*12</f>
        <v>147444.829437463</v>
      </c>
      <c r="AB34" s="11" t="n">
        <f aca="false">AB33*12</f>
        <v>154799.437873872</v>
      </c>
      <c r="AC34" s="11" t="n">
        <f aca="false">AC33*12</f>
        <v>161996.688318846</v>
      </c>
      <c r="AD34" s="11" t="n">
        <f aca="false">AD33*12</f>
        <v>169042.088302087</v>
      </c>
      <c r="AE34" s="11" t="n">
        <f aca="false">AE33*12</f>
        <v>175940.952589754</v>
      </c>
      <c r="AF34" s="11" t="n">
        <f aca="false">AF33*12</f>
        <v>182698.409931192</v>
      </c>
      <c r="AG34" s="11" t="n">
        <f aca="false">AG33*12</f>
        <v>189319.40956952</v>
      </c>
      <c r="AH34" s="11" t="n">
        <f aca="false">AH33*12</f>
        <v>195808.727524347</v>
      </c>
      <c r="AI34" s="11" t="n">
        <f aca="false">AI33*12</f>
        <v>202170.972654595</v>
      </c>
      <c r="AJ34" s="11" t="n">
        <f aca="false">AJ33*12</f>
        <v>208310.539205284</v>
      </c>
      <c r="AK34" s="11" t="n">
        <f aca="false">AK33*12</f>
        <v>214235.220926699</v>
      </c>
      <c r="AL34" s="11" t="n">
        <f aca="false">AL33*12</f>
        <v>219952.538787865</v>
      </c>
      <c r="AM34" s="11" t="n">
        <f aca="false">AM33*12</f>
        <v>225469.750523889</v>
      </c>
      <c r="AN34" s="11" t="n">
        <f aca="false">AN33*12</f>
        <v>230793.859849153</v>
      </c>
      <c r="AO34" s="11" t="n">
        <f aca="false">AO33*12</f>
        <v>235931.625348033</v>
      </c>
      <c r="AP34" s="11" t="n">
        <f aca="false">AP33*12</f>
        <v>240889.569054452</v>
      </c>
      <c r="AQ34" s="11" t="n">
        <f aca="false">AQ33*12</f>
        <v>245673.984731146</v>
      </c>
      <c r="AR34" s="11" t="n">
        <f aca="false">AR33*12</f>
        <v>250290.945859156</v>
      </c>
      <c r="AS34" s="11" t="n">
        <f aca="false">AS33*12</f>
        <v>254746.313347685</v>
      </c>
      <c r="AT34" s="11" t="n">
        <f aca="false">AT33*12</f>
        <v>259045.742974116</v>
      </c>
      <c r="AU34" s="11" t="n">
        <f aca="false">AU33*12</f>
        <v>263194.692563622</v>
      </c>
      <c r="AV34" s="11" t="n">
        <f aca="false">AV33*12</f>
        <v>267198.428917496</v>
      </c>
      <c r="AW34" s="11" t="n">
        <f aca="false">AW33*12</f>
        <v>271062.034498983</v>
      </c>
      <c r="AX34" s="11" t="n">
        <f aca="false">AX33*12</f>
        <v>274790.413885119</v>
      </c>
      <c r="AY34" s="11" t="n">
        <f aca="false">AY33*12</f>
        <v>278388.29999274</v>
      </c>
      <c r="AZ34" s="11" t="n">
        <f aca="false">AZ33*12</f>
        <v>281860.260086594</v>
      </c>
      <c r="BA34" s="11" t="n">
        <f aca="false">BA33*12</f>
        <v>285210.701577163</v>
      </c>
      <c r="BB34" s="11" t="n">
        <f aca="false">BB33*12</f>
        <v>288443.877615562</v>
      </c>
      <c r="BC34" s="11" t="n">
        <f aca="false">BC33*12</f>
        <v>291563.892492618</v>
      </c>
      <c r="BD34" s="11" t="n">
        <f aca="false">BD33*12</f>
        <v>294574.706848976</v>
      </c>
      <c r="BE34" s="11" t="n">
        <f aca="false">BE33*12</f>
        <v>297480.142702862</v>
      </c>
      <c r="BF34" s="11" t="n">
        <f aca="false">BF33*12</f>
        <v>300283.888301862</v>
      </c>
      <c r="BG34" s="11" t="n">
        <f aca="false">BG33*12</f>
        <v>302989.502804897</v>
      </c>
      <c r="BH34" s="11" t="n">
        <f aca="false">BH33*12</f>
        <v>305600.420800325</v>
      </c>
      <c r="BI34" s="11" t="n">
        <f aca="false">BI33*12</f>
        <v>308119.956665914</v>
      </c>
      <c r="BJ34" s="11" t="n">
        <f aca="false">BJ33*12</f>
        <v>310551.308776207</v>
      </c>
    </row>
    <row r="35" customFormat="false" ht="15" hidden="false" customHeight="false" outlineLevel="0" collapsed="false">
      <c r="A35" s="10" t="s">
        <v>11</v>
      </c>
      <c r="C35" s="11" t="n">
        <f aca="false">C33</f>
        <v>47.4450102</v>
      </c>
      <c r="D35" s="11" t="n">
        <f aca="false">D33</f>
        <v>140.674455243</v>
      </c>
      <c r="E35" s="11" t="n">
        <f aca="false">E33</f>
        <v>278.085879909495</v>
      </c>
      <c r="F35" s="11" t="n">
        <f aca="false">F33</f>
        <v>458.132914912663</v>
      </c>
      <c r="G35" s="11" t="n">
        <f aca="false">G33</f>
        <v>679.323313890719</v>
      </c>
      <c r="H35" s="11" t="n">
        <f aca="false">H33</f>
        <v>940.217059104544</v>
      </c>
      <c r="I35" s="11" t="n">
        <f aca="false">I33</f>
        <v>1257.06147343589</v>
      </c>
      <c r="J35" s="11" t="n">
        <f aca="false">J33</f>
        <v>1627.89828346563</v>
      </c>
      <c r="K35" s="11" t="n">
        <f aca="false">K33</f>
        <v>2050.83775534433</v>
      </c>
      <c r="L35" s="11" t="n">
        <f aca="false">L33</f>
        <v>2524.05629590728</v>
      </c>
      <c r="M35" s="11" t="n">
        <f aca="false">M33</f>
        <v>3045.79413775053</v>
      </c>
      <c r="N35" s="11" t="n">
        <f aca="false">N33</f>
        <v>3614.35310532926</v>
      </c>
      <c r="O35" s="11" t="n">
        <f aca="false">O33</f>
        <v>4228.09445924273</v>
      </c>
      <c r="P35" s="11" t="n">
        <f aca="false">P33</f>
        <v>4885.43681596924</v>
      </c>
      <c r="Q35" s="11" t="n">
        <f aca="false">Q33</f>
        <v>5584.85414041031</v>
      </c>
      <c r="R35" s="11" t="n">
        <f aca="false">R33</f>
        <v>6277.42879849595</v>
      </c>
      <c r="S35" s="11" t="n">
        <f aca="false">S33</f>
        <v>6963.40028354859</v>
      </c>
      <c r="T35" s="11" t="n">
        <f aca="false">T33</f>
        <v>7642.99970662439</v>
      </c>
      <c r="U35" s="11" t="n">
        <f aca="false">U33</f>
        <v>8324.78786521254</v>
      </c>
      <c r="V35" s="11" t="n">
        <f aca="false">V33</f>
        <v>9008.6881535701</v>
      </c>
      <c r="W35" s="11" t="n">
        <f aca="false">W33</f>
        <v>9694.62664715514</v>
      </c>
      <c r="X35" s="11" t="n">
        <f aca="false">X33</f>
        <v>10364.8950687847</v>
      </c>
      <c r="Y35" s="11" t="n">
        <f aca="false">Y33</f>
        <v>11020.0418709772</v>
      </c>
      <c r="Z35" s="11" t="n">
        <f aca="false">Z33</f>
        <v>11660.596310413</v>
      </c>
      <c r="AA35" s="11" t="n">
        <f aca="false">AA33</f>
        <v>12287.0691197886</v>
      </c>
      <c r="AB35" s="11" t="n">
        <f aca="false">AB33</f>
        <v>12899.953156156</v>
      </c>
      <c r="AC35" s="11" t="n">
        <f aca="false">AC33</f>
        <v>13499.7240265705</v>
      </c>
      <c r="AD35" s="11" t="n">
        <f aca="false">AD33</f>
        <v>14086.8406918406</v>
      </c>
      <c r="AE35" s="11" t="n">
        <f aca="false">AE33</f>
        <v>14661.7460491461</v>
      </c>
      <c r="AF35" s="11" t="n">
        <f aca="false">AF33</f>
        <v>15224.867494266</v>
      </c>
      <c r="AG35" s="11" t="n">
        <f aca="false">AG33</f>
        <v>15776.6174641267</v>
      </c>
      <c r="AH35" s="11" t="n">
        <f aca="false">AH33</f>
        <v>16317.3939603623</v>
      </c>
      <c r="AI35" s="11" t="n">
        <f aca="false">AI33</f>
        <v>16847.5810545496</v>
      </c>
      <c r="AJ35" s="11" t="n">
        <f aca="false">AJ33</f>
        <v>17359.2116004404</v>
      </c>
      <c r="AK35" s="11" t="n">
        <f aca="false">AK33</f>
        <v>17852.9350772249</v>
      </c>
      <c r="AL35" s="11" t="n">
        <f aca="false">AL33</f>
        <v>18329.3782323221</v>
      </c>
      <c r="AM35" s="11" t="n">
        <f aca="false">AM33</f>
        <v>18789.1458769908</v>
      </c>
      <c r="AN35" s="11" t="n">
        <f aca="false">AN33</f>
        <v>19232.8216540961</v>
      </c>
      <c r="AO35" s="11" t="n">
        <f aca="false">AO33</f>
        <v>19660.9687790027</v>
      </c>
      <c r="AP35" s="11" t="n">
        <f aca="false">AP33</f>
        <v>20074.1307545377</v>
      </c>
      <c r="AQ35" s="11" t="n">
        <f aca="false">AQ33</f>
        <v>20472.8320609288</v>
      </c>
      <c r="AR35" s="11" t="n">
        <f aca="false">AR33</f>
        <v>20857.5788215963</v>
      </c>
      <c r="AS35" s="11" t="n">
        <f aca="false">AS33</f>
        <v>21228.8594456405</v>
      </c>
      <c r="AT35" s="11" t="n">
        <f aca="false">AT33</f>
        <v>21587.145247843</v>
      </c>
      <c r="AU35" s="11" t="n">
        <f aca="false">AU33</f>
        <v>21932.8910469685</v>
      </c>
      <c r="AV35" s="11" t="n">
        <f aca="false">AV33</f>
        <v>22266.5357431246</v>
      </c>
      <c r="AW35" s="11" t="n">
        <f aca="false">AW33</f>
        <v>22588.5028749153</v>
      </c>
      <c r="AX35" s="11" t="n">
        <f aca="false">AX33</f>
        <v>22899.2011570932</v>
      </c>
      <c r="AY35" s="11" t="n">
        <f aca="false">AY33</f>
        <v>23199.024999395</v>
      </c>
      <c r="AZ35" s="11" t="n">
        <f aca="false">AZ33</f>
        <v>23488.3550072162</v>
      </c>
      <c r="BA35" s="11" t="n">
        <f aca="false">BA33</f>
        <v>23767.5584647636</v>
      </c>
      <c r="BB35" s="11" t="n">
        <f aca="false">BB33</f>
        <v>24036.9898012969</v>
      </c>
      <c r="BC35" s="11" t="n">
        <f aca="false">BC33</f>
        <v>24296.9910410515</v>
      </c>
      <c r="BD35" s="11" t="n">
        <f aca="false">BD33</f>
        <v>24547.8922374147</v>
      </c>
      <c r="BE35" s="11" t="n">
        <f aca="false">BE33</f>
        <v>24790.0118919052</v>
      </c>
      <c r="BF35" s="11" t="n">
        <f aca="false">BF33</f>
        <v>25023.6573584885</v>
      </c>
      <c r="BG35" s="11" t="n">
        <f aca="false">BG33</f>
        <v>25249.1252337414</v>
      </c>
      <c r="BH35" s="11" t="n">
        <f aca="false">BH33</f>
        <v>25466.7017333604</v>
      </c>
      <c r="BI35" s="11" t="n">
        <f aca="false">BI33</f>
        <v>25676.6630554928</v>
      </c>
      <c r="BJ35" s="11" t="n">
        <f aca="false">BJ33</f>
        <v>25879.2757313506</v>
      </c>
    </row>
    <row r="37" customFormat="false" ht="15" hidden="false" customHeight="false" outlineLevel="0" collapsed="false">
      <c r="A37" s="10" t="s">
        <v>125</v>
      </c>
    </row>
    <row r="38" customFormat="false" ht="15" hidden="false" customHeight="false" outlineLevel="0" collapsed="false">
      <c r="A38" s="5" t="s">
        <v>126</v>
      </c>
      <c r="C38" s="8" t="n">
        <f aca="false">C35*Assumptions!$B$33+C31*((1-Assumptions!$B$19)+Assumptions!$B$19/12)*Assumptions!$B$34</f>
        <v>1.5770610408</v>
      </c>
      <c r="D38" s="8" t="n">
        <f aca="false">D35*Assumptions!$B$33+D31*((1-Assumptions!$B$19)+Assumptions!$B$19/12)*Assumptions!$B$34</f>
        <v>4.675985985972</v>
      </c>
      <c r="E38" s="8" t="n">
        <f aca="false">E35*Assumptions!$B$33+E31*((1-Assumptions!$B$19)+Assumptions!$B$19/12)*Assumptions!$B$34</f>
        <v>9.24350959886298</v>
      </c>
      <c r="F38" s="8" t="n">
        <f aca="false">F35*Assumptions!$B$33+F31*((1-Assumptions!$B$19)+Assumptions!$B$19/12)*Assumptions!$B$34</f>
        <v>15.2282309261028</v>
      </c>
      <c r="G38" s="8" t="n">
        <f aca="false">G35*Assumptions!$B$33+G31*((1-Assumptions!$B$19)+Assumptions!$B$19/12)*Assumptions!$B$34</f>
        <v>22.5805480476892</v>
      </c>
      <c r="H38" s="8" t="n">
        <f aca="false">H35*Assumptions!$B$33+H31*((1-Assumptions!$B$19)+Assumptions!$B$19/12)*Assumptions!$B$34</f>
        <v>31.2525951108201</v>
      </c>
      <c r="I38" s="8" t="n">
        <f aca="false">I35*Assumptions!$B$33+I31*((1-Assumptions!$B$19)+Assumptions!$B$19/12)*Assumptions!$B$34</f>
        <v>41.7766428275414</v>
      </c>
      <c r="J38" s="8" t="n">
        <f aca="false">J35*Assumptions!$B$33+J31*((1-Assumptions!$B$19)+Assumptions!$B$19/12)*Assumptions!$B$34</f>
        <v>54.0878711749774</v>
      </c>
      <c r="K38" s="8" t="n">
        <f aca="false">K35*Assumptions!$B$33+K31*((1-Assumptions!$B$19)+Assumptions!$B$19/12)*Assumptions!$B$34</f>
        <v>68.1237288310532</v>
      </c>
      <c r="L38" s="8" t="n">
        <f aca="false">L35*Assumptions!$B$33+L31*((1-Assumptions!$B$19)+Assumptions!$B$19/12)*Assumptions!$B$34</f>
        <v>83.8238537699663</v>
      </c>
      <c r="M38" s="8" t="n">
        <f aca="false">M35*Assumptions!$B$33+M31*((1-Assumptions!$B$19)+Assumptions!$B$19/12)*Assumptions!$B$34</f>
        <v>101.129996636818</v>
      </c>
      <c r="N38" s="8" t="n">
        <f aca="false">N35*Assumptions!$B$33+N31*((1-Assumptions!$B$19)+Assumptions!$B$19/12)*Assumptions!$B$34</f>
        <v>119.985946804129</v>
      </c>
      <c r="O38" s="8" t="n">
        <f aca="false">O35*Assumptions!$B$33+O31*((1-Assumptions!$B$19)+Assumptions!$B$19/12)*Assumptions!$B$34</f>
        <v>140.337461016384</v>
      </c>
      <c r="P38" s="8" t="n">
        <f aca="false">P35*Assumptions!$B$33+P31*((1-Assumptions!$B$19)+Assumptions!$B$19/12)*Assumptions!$B$34</f>
        <v>162.132194532011</v>
      </c>
      <c r="Q38" s="8" t="n">
        <f aca="false">Q35*Assumptions!$B$33+Q31*((1-Assumptions!$B$19)+Assumptions!$B$19/12)*Assumptions!$B$34</f>
        <v>185.319634675391</v>
      </c>
      <c r="R38" s="8" t="n">
        <f aca="false">R35*Assumptions!$B$33+R31*((1-Assumptions!$B$19)+Assumptions!$B$19/12)*Assumptions!$B$34</f>
        <v>208.273975673752</v>
      </c>
      <c r="S38" s="8" t="n">
        <f aca="false">S35*Assumptions!$B$33+S31*((1-Assumptions!$B$19)+Assumptions!$B$19/12)*Assumptions!$B$34</f>
        <v>231.003375997171</v>
      </c>
      <c r="T38" s="8" t="n">
        <f aca="false">T35*Assumptions!$B$33+T31*((1-Assumptions!$B$19)+Assumptions!$B$19/12)*Assumptions!$B$34</f>
        <v>253.51570856927</v>
      </c>
      <c r="U38" s="8" t="n">
        <f aca="false">U35*Assumptions!$B$33+U31*((1-Assumptions!$B$19)+Assumptions!$B$19/12)*Assumptions!$B$34</f>
        <v>276.085616400625</v>
      </c>
      <c r="V38" s="8" t="n">
        <f aca="false">V35*Assumptions!$B$33+V31*((1-Assumptions!$B$19)+Assumptions!$B$19/12)*Assumptions!$B$34</f>
        <v>298.711084357163</v>
      </c>
      <c r="W38" s="8" t="n">
        <f aca="false">W35*Assumptions!$B$33+W31*((1-Assumptions!$B$19)+Assumptions!$B$19/12)*Assumptions!$B$34</f>
        <v>321.390167834502</v>
      </c>
      <c r="X38" s="8" t="n">
        <f aca="false">X35*Assumptions!$B$33+X31*((1-Assumptions!$B$19)+Assumptions!$B$19/12)*Assumptions!$B$34</f>
        <v>343.542529029415</v>
      </c>
      <c r="Y38" s="8" t="n">
        <f aca="false">Y35*Assumptions!$B$33+Y31*((1-Assumptions!$B$19)+Assumptions!$B$19/12)*Assumptions!$B$34</f>
        <v>365.186603221785</v>
      </c>
      <c r="Z38" s="8" t="n">
        <f aca="false">Z35*Assumptions!$B$33+Z31*((1-Assumptions!$B$19)+Assumptions!$B$19/12)*Assumptions!$B$34</f>
        <v>386.340180456703</v>
      </c>
      <c r="AA38" s="8" t="n">
        <f aca="false">AA35*Assumptions!$B$33+AA31*((1-Assumptions!$B$19)+Assumptions!$B$19/12)*Assumptions!$B$34</f>
        <v>407.020428127678</v>
      </c>
      <c r="AB38" s="8" t="n">
        <f aca="false">AB35*Assumptions!$B$33+AB31*((1-Assumptions!$B$19)+Assumptions!$B$19/12)*Assumptions!$B$34</f>
        <v>427.24391276945</v>
      </c>
      <c r="AC38" s="8" t="n">
        <f aca="false">AC35*Assumptions!$B$33+AC31*((1-Assumptions!$B$19)+Assumptions!$B$19/12)*Assumptions!$B$34</f>
        <v>447.026621088039</v>
      </c>
      <c r="AD38" s="8" t="n">
        <f aca="false">AD35*Assumptions!$B$33+AD31*((1-Assumptions!$B$19)+Assumptions!$B$19/12)*Assumptions!$B$34</f>
        <v>466.383980254757</v>
      </c>
      <c r="AE38" s="8" t="n">
        <f aca="false">AE35*Assumptions!$B$33+AE31*((1-Assumptions!$B$19)+Assumptions!$B$19/12)*Assumptions!$B$34</f>
        <v>485.330877489921</v>
      </c>
      <c r="AF38" s="8" t="n">
        <f aca="false">AF35*Assumptions!$B$33+AF31*((1-Assumptions!$B$19)+Assumptions!$B$19/12)*Assumptions!$B$34</f>
        <v>503.881678961133</v>
      </c>
      <c r="AG38" s="8" t="n">
        <f aca="false">AG35*Assumptions!$B$33+AG31*((1-Assumptions!$B$19)+Assumptions!$B$19/12)*Assumptions!$B$34</f>
        <v>522.050248020134</v>
      </c>
      <c r="AH38" s="8" t="n">
        <f aca="false">AH35*Assumptions!$B$33+AH31*((1-Assumptions!$B$19)+Assumptions!$B$19/12)*Assumptions!$B$34</f>
        <v>539.849962801349</v>
      </c>
      <c r="AI38" s="8" t="n">
        <f aca="false">AI35*Assumptions!$B$33+AI31*((1-Assumptions!$B$19)+Assumptions!$B$19/12)*Assumptions!$B$34</f>
        <v>557.293733204502</v>
      </c>
      <c r="AJ38" s="8" t="n">
        <f aca="false">AJ35*Assumptions!$B$33+AJ31*((1-Assumptions!$B$19)+Assumptions!$B$19/12)*Assumptions!$B$34</f>
        <v>574.126971643544</v>
      </c>
      <c r="AK38" s="8" t="n">
        <f aca="false">AK35*Assumptions!$B$33+AK31*((1-Assumptions!$B$19)+Assumptions!$B$19/12)*Assumptions!$B$34</f>
        <v>590.37104673722</v>
      </c>
      <c r="AL38" s="8" t="n">
        <f aca="false">AL35*Assumptions!$B$33+AL31*((1-Assumptions!$B$19)+Assumptions!$B$19/12)*Assumptions!$B$34</f>
        <v>606.046579202617</v>
      </c>
      <c r="AM38" s="8" t="n">
        <f aca="false">AM35*Assumptions!$B$33+AM31*((1-Assumptions!$B$19)+Assumptions!$B$19/12)*Assumptions!$B$34</f>
        <v>621.173468031726</v>
      </c>
      <c r="AN38" s="8" t="n">
        <f aca="false">AN35*Assumptions!$B$33+AN31*((1-Assumptions!$B$19)+Assumptions!$B$19/12)*Assumptions!$B$34</f>
        <v>635.770915751815</v>
      </c>
      <c r="AO38" s="8" t="n">
        <f aca="false">AO35*Assumptions!$B$33+AO31*((1-Assumptions!$B$19)+Assumptions!$B$19/12)*Assumptions!$B$34</f>
        <v>649.857452801702</v>
      </c>
      <c r="AP38" s="8" t="n">
        <f aca="false">AP35*Assumptions!$B$33+AP31*((1-Assumptions!$B$19)+Assumptions!$B$19/12)*Assumptions!$B$34</f>
        <v>663.450961054842</v>
      </c>
      <c r="AQ38" s="8" t="n">
        <f aca="false">AQ35*Assumptions!$B$33+AQ31*((1-Assumptions!$B$19)+Assumptions!$B$19/12)*Assumptions!$B$34</f>
        <v>676.568696519123</v>
      </c>
      <c r="AR38" s="8" t="n">
        <f aca="false">AR35*Assumptions!$B$33+AR31*((1-Assumptions!$B$19)+Assumptions!$B$19/12)*Assumptions!$B$34</f>
        <v>689.227311242153</v>
      </c>
      <c r="AS38" s="8" t="n">
        <f aca="false">AS35*Assumptions!$B$33+AS31*((1-Assumptions!$B$19)+Assumptions!$B$19/12)*Assumptions!$B$34</f>
        <v>701.442874449878</v>
      </c>
      <c r="AT38" s="8" t="n">
        <f aca="false">AT35*Assumptions!$B$33+AT31*((1-Assumptions!$B$19)+Assumptions!$B$19/12)*Assumptions!$B$34</f>
        <v>713.230892945332</v>
      </c>
      <c r="AU38" s="8" t="n">
        <f aca="false">AU35*Assumptions!$B$33+AU31*((1-Assumptions!$B$19)+Assumptions!$B$19/12)*Assumptions!$B$34</f>
        <v>724.606330793446</v>
      </c>
      <c r="AV38" s="8" t="n">
        <f aca="false">AV35*Assumptions!$B$33+AV31*((1-Assumptions!$B$19)+Assumptions!$B$19/12)*Assumptions!$B$34</f>
        <v>735.583628316875</v>
      </c>
      <c r="AW38" s="8" t="n">
        <f aca="false">AW35*Assumptions!$B$33+AW31*((1-Assumptions!$B$19)+Assumptions!$B$19/12)*Assumptions!$B$34</f>
        <v>746.176720426984</v>
      </c>
      <c r="AX38" s="8" t="n">
        <f aca="false">AX35*Assumptions!$B$33+AX31*((1-Assumptions!$B$19)+Assumptions!$B$19/12)*Assumptions!$B$34</f>
        <v>756.39905431324</v>
      </c>
      <c r="AY38" s="8" t="n">
        <f aca="false">AY35*Assumptions!$B$33+AY31*((1-Assumptions!$B$19)+Assumptions!$B$19/12)*Assumptions!$B$34</f>
        <v>766.263606513477</v>
      </c>
      <c r="AZ38" s="8" t="n">
        <f aca="false">AZ35*Assumptions!$B$33+AZ31*((1-Assumptions!$B$19)+Assumptions!$B$19/12)*Assumptions!$B$34</f>
        <v>775.782899386705</v>
      </c>
      <c r="BA38" s="8" t="n">
        <f aca="false">BA35*Assumptions!$B$33+BA31*((1-Assumptions!$B$19)+Assumptions!$B$19/12)*Assumptions!$B$34</f>
        <v>784.96901700937</v>
      </c>
      <c r="BB38" s="8" t="n">
        <f aca="false">BB35*Assumptions!$B$33+BB31*((1-Assumptions!$B$19)+Assumptions!$B$19/12)*Assumptions!$B$34</f>
        <v>793.833620515242</v>
      </c>
      <c r="BC38" s="8" t="n">
        <f aca="false">BC35*Assumptions!$B$33+BC31*((1-Assumptions!$B$19)+Assumptions!$B$19/12)*Assumptions!$B$34</f>
        <v>802.387962898409</v>
      </c>
      <c r="BD38" s="8" t="n">
        <f aca="false">BD35*Assumptions!$B$33+BD31*((1-Assumptions!$B$19)+Assumptions!$B$19/12)*Assumptions!$B$34</f>
        <v>810.642903298165</v>
      </c>
      <c r="BE38" s="8" t="n">
        <f aca="false">BE35*Assumptions!$B$33+BE31*((1-Assumptions!$B$19)+Assumptions!$B$19/12)*Assumptions!$B$34</f>
        <v>818.608920783929</v>
      </c>
      <c r="BF38" s="8" t="n">
        <f aca="false">BF35*Assumptions!$B$33+BF31*((1-Assumptions!$B$19)+Assumptions!$B$19/12)*Assumptions!$B$34</f>
        <v>826.296127657691</v>
      </c>
      <c r="BG38" s="8" t="n">
        <f aca="false">BG35*Assumptions!$B$33+BG31*((1-Assumptions!$B$19)+Assumptions!$B$19/12)*Assumptions!$B$34</f>
        <v>833.714282290872</v>
      </c>
      <c r="BH38" s="8" t="n">
        <f aca="false">BH35*Assumptions!$B$33+BH31*((1-Assumptions!$B$19)+Assumptions!$B$19/12)*Assumptions!$B$34</f>
        <v>840.872801511892</v>
      </c>
      <c r="BI38" s="8" t="n">
        <f aca="false">BI35*Assumptions!$B$33+BI31*((1-Assumptions!$B$19)+Assumptions!$B$19/12)*Assumptions!$B$34</f>
        <v>847.780772560175</v>
      </c>
      <c r="BJ38" s="8" t="n">
        <f aca="false">BJ35*Assumptions!$B$33+BJ31*((1-Assumptions!$B$19)+Assumptions!$B$19/12)*Assumptions!$B$34</f>
        <v>854.446964621769</v>
      </c>
    </row>
    <row r="39" customFormat="false" ht="15" hidden="false" customHeight="false" outlineLevel="0" collapsed="false">
      <c r="A39" s="5" t="s">
        <v>127</v>
      </c>
      <c r="C39" s="8" t="n">
        <f aca="false">Assumptions!$B$35+Assumptions!$B$36*C31</f>
        <v>250.6936405</v>
      </c>
      <c r="D39" s="8" t="n">
        <f aca="false">Assumptions!$B$35+Assumptions!$B$36*D31</f>
        <v>252.0566440825</v>
      </c>
      <c r="E39" s="8" t="n">
        <f aca="false">Assumptions!$B$35+Assumptions!$B$36*E31</f>
        <v>254.065583039613</v>
      </c>
      <c r="F39" s="8" t="n">
        <f aca="false">Assumptions!$B$35+Assumptions!$B$36*F31</f>
        <v>256.697849633226</v>
      </c>
      <c r="G39" s="8" t="n">
        <f aca="false">Assumptions!$B$35+Assumptions!$B$36*G31</f>
        <v>259.931627396063</v>
      </c>
      <c r="H39" s="8" t="n">
        <f aca="false">Assumptions!$B$35+Assumptions!$B$36*H31</f>
        <v>263.745863437201</v>
      </c>
      <c r="I39" s="8" t="n">
        <f aca="false">Assumptions!$B$35+Assumptions!$B$36*I31</f>
        <v>268.351241716899</v>
      </c>
      <c r="J39" s="8" t="n">
        <f aca="false">Assumptions!$B$35+Assumptions!$B$36*J31</f>
        <v>273.720072256807</v>
      </c>
      <c r="K39" s="8" t="n">
        <f aca="false">Assumptions!$B$35+Assumptions!$B$36*K31</f>
        <v>279.825634227819</v>
      </c>
      <c r="L39" s="8" t="n">
        <f aca="false">Assumptions!$B$35+Assumptions!$B$36*L31</f>
        <v>286.642142029846</v>
      </c>
      <c r="M39" s="8" t="n">
        <f aca="false">Assumptions!$B$35+Assumptions!$B$36*M31</f>
        <v>294.144712558801</v>
      </c>
      <c r="N39" s="8" t="n">
        <f aca="false">Assumptions!$B$35+Assumptions!$B$36*N31</f>
        <v>302.309333619243</v>
      </c>
      <c r="O39" s="8" t="n">
        <f aca="false">Assumptions!$B$35+Assumptions!$B$36*O31</f>
        <v>311.112833442569</v>
      </c>
      <c r="P39" s="8" t="n">
        <f aca="false">Assumptions!$B$35+Assumptions!$B$36*P31</f>
        <v>320.53285127208</v>
      </c>
      <c r="Q39" s="8" t="n">
        <f aca="false">Assumptions!$B$35+Assumptions!$B$36*Q31</f>
        <v>330.547808977557</v>
      </c>
      <c r="R39" s="8" t="n">
        <f aca="false">Assumptions!$B$35+Assumptions!$B$36*R31</f>
        <v>340.443243163342</v>
      </c>
      <c r="S39" s="8" t="n">
        <f aca="false">Assumptions!$B$35+Assumptions!$B$36*S31</f>
        <v>350.223337152625</v>
      </c>
      <c r="T39" s="8" t="n">
        <f aca="false">Assumptions!$B$35+Assumptions!$B$36*T31</f>
        <v>359.892127852283</v>
      </c>
      <c r="U39" s="8" t="n">
        <f aca="false">Assumptions!$B$35+Assumptions!$B$36*U31</f>
        <v>369.540580377453</v>
      </c>
      <c r="V39" s="8" t="n">
        <f aca="false">Assumptions!$B$35+Assumptions!$B$36*V31</f>
        <v>379.169406564243</v>
      </c>
      <c r="W39" s="8" t="n">
        <f aca="false">Assumptions!$B$35+Assumptions!$B$36*W31</f>
        <v>388.779293334494</v>
      </c>
      <c r="X39" s="8" t="n">
        <f aca="false">Assumptions!$B$35+Assumptions!$B$36*X31</f>
        <v>398.139903567787</v>
      </c>
      <c r="Y39" s="8" t="n">
        <f aca="false">Assumptions!$B$35+Assumptions!$B$36*Y31</f>
        <v>407.259961942914</v>
      </c>
      <c r="Z39" s="8" t="n">
        <f aca="false">Assumptions!$B$35+Assumptions!$B$36*Z31</f>
        <v>416.147887774912</v>
      </c>
      <c r="AA39" s="8" t="n">
        <f aca="false">Assumptions!$B$35+Assumptions!$B$36*AA31</f>
        <v>424.81180570279</v>
      </c>
      <c r="AB39" s="8" t="n">
        <f aca="false">Assumptions!$B$35+Assumptions!$B$36*AB31</f>
        <v>433.259556003193</v>
      </c>
      <c r="AC39" s="8" t="n">
        <f aca="false">Assumptions!$B$35+Assumptions!$B$36*AC31</f>
        <v>441.498704543081</v>
      </c>
      <c r="AD39" s="8" t="n">
        <f aca="false">Assumptions!$B$35+Assumptions!$B$36*AD31</f>
        <v>449.536552384073</v>
      </c>
      <c r="AE39" s="8" t="n">
        <f aca="false">Assumptions!$B$35+Assumptions!$B$36*AE31</f>
        <v>457.38014505063</v>
      </c>
      <c r="AF39" s="8" t="n">
        <f aca="false">Assumptions!$B$35+Assumptions!$B$36*AF31</f>
        <v>465.036281473858</v>
      </c>
      <c r="AG39" s="8" t="n">
        <f aca="false">Assumptions!$B$35+Assumptions!$B$36*AG31</f>
        <v>472.511522622273</v>
      </c>
      <c r="AH39" s="8" t="n">
        <f aca="false">Assumptions!$B$35+Assumptions!$B$36*AH31</f>
        <v>479.812199830494</v>
      </c>
      <c r="AI39" s="8" t="n">
        <f aca="false">Assumptions!$B$35+Assumptions!$B$36*AI31</f>
        <v>486.944422836426</v>
      </c>
      <c r="AJ39" s="8" t="n">
        <f aca="false">Assumptions!$B$35+Assumptions!$B$36*AJ31</f>
        <v>493.827018037151</v>
      </c>
      <c r="AK39" s="8" t="n">
        <f aca="false">Assumptions!$B$35+Assumptions!$B$36*AK31</f>
        <v>500.468722405851</v>
      </c>
      <c r="AL39" s="8" t="n">
        <f aca="false">Assumptions!$B$35+Assumptions!$B$36*AL31</f>
        <v>506.877967121646</v>
      </c>
      <c r="AM39" s="8" t="n">
        <f aca="false">Assumptions!$B$35+Assumptions!$B$36*AM31</f>
        <v>513.062888272389</v>
      </c>
      <c r="AN39" s="8" t="n">
        <f aca="false">Assumptions!$B$35+Assumptions!$B$36*AN31</f>
        <v>519.031337182855</v>
      </c>
      <c r="AO39" s="8" t="n">
        <f aca="false">Assumptions!$B$35+Assumptions!$B$36*AO31</f>
        <v>524.790890381455</v>
      </c>
      <c r="AP39" s="8" t="n">
        <f aca="false">Assumptions!$B$35+Assumptions!$B$36*AP31</f>
        <v>530.348859218104</v>
      </c>
      <c r="AQ39" s="8" t="n">
        <f aca="false">Assumptions!$B$35+Assumptions!$B$36*AQ31</f>
        <v>535.712299145471</v>
      </c>
      <c r="AR39" s="8" t="n">
        <f aca="false">Assumptions!$B$35+Assumptions!$B$36*AR31</f>
        <v>540.888018675379</v>
      </c>
      <c r="AS39" s="8" t="n">
        <f aca="false">Assumptions!$B$35+Assumptions!$B$36*AS31</f>
        <v>545.882588021741</v>
      </c>
      <c r="AT39" s="8" t="n">
        <f aca="false">Assumptions!$B$35+Assumptions!$B$36*AT31</f>
        <v>550.70234744098</v>
      </c>
      <c r="AU39" s="8" t="n">
        <f aca="false">Assumptions!$B$35+Assumptions!$B$36*AU31</f>
        <v>555.353415280546</v>
      </c>
      <c r="AV39" s="8" t="n">
        <f aca="false">Assumptions!$B$35+Assumptions!$B$36*AV31</f>
        <v>559.841695745726</v>
      </c>
      <c r="AW39" s="8" t="n">
        <f aca="false">Assumptions!$B$35+Assumptions!$B$36*AW31</f>
        <v>564.172886394626</v>
      </c>
      <c r="AX39" s="8" t="n">
        <f aca="false">Assumptions!$B$35+Assumptions!$B$36*AX31</f>
        <v>568.352485370814</v>
      </c>
      <c r="AY39" s="8" t="n">
        <f aca="false">Assumptions!$B$35+Assumptions!$B$36*AY31</f>
        <v>572.385798382836</v>
      </c>
      <c r="AZ39" s="8" t="n">
        <f aca="false">Assumptions!$B$35+Assumptions!$B$36*AZ31</f>
        <v>576.277945439436</v>
      </c>
      <c r="BA39" s="8" t="n">
        <f aca="false">Assumptions!$B$35+Assumptions!$B$36*BA31</f>
        <v>580.033867349056</v>
      </c>
      <c r="BB39" s="8" t="n">
        <f aca="false">Assumptions!$B$35+Assumptions!$B$36*BB31</f>
        <v>583.658331991839</v>
      </c>
      <c r="BC39" s="8" t="n">
        <f aca="false">Assumptions!$B$35+Assumptions!$B$36*BC31</f>
        <v>587.155940372125</v>
      </c>
      <c r="BD39" s="8" t="n">
        <f aca="false">Assumptions!$B$35+Assumptions!$B$36*BD31</f>
        <v>590.531132459101</v>
      </c>
      <c r="BE39" s="8" t="n">
        <f aca="false">Assumptions!$B$35+Assumptions!$B$36*BE31</f>
        <v>593.788192823032</v>
      </c>
      <c r="BF39" s="8" t="n">
        <f aca="false">Assumptions!$B$35+Assumptions!$B$36*BF31</f>
        <v>596.931256074226</v>
      </c>
      <c r="BG39" s="8" t="n">
        <f aca="false">Assumptions!$B$35+Assumptions!$B$36*BG31</f>
        <v>599.964312111628</v>
      </c>
      <c r="BH39" s="8" t="n">
        <f aca="false">Assumptions!$B$35+Assumptions!$B$36*BH31</f>
        <v>602.891211187721</v>
      </c>
      <c r="BI39" s="8" t="n">
        <f aca="false">Assumptions!$B$35+Assumptions!$B$36*BI31</f>
        <v>605.715668796151</v>
      </c>
      <c r="BJ39" s="8" t="n">
        <f aca="false">Assumptions!$B$35+Assumptions!$B$36*BJ31</f>
        <v>608.441270388286</v>
      </c>
    </row>
    <row r="40" customFormat="false" ht="15" hidden="false" customHeight="false" outlineLevel="0" collapsed="false">
      <c r="A40" s="5" t="s">
        <v>128</v>
      </c>
      <c r="C40" s="8" t="n">
        <f aca="false">C31/Assumptions!$B$37*Assumptions!$B$38/12</f>
        <v>10.5972854166667</v>
      </c>
      <c r="D40" s="8" t="n">
        <f aca="false">D31/Assumptions!$B$37*Assumptions!$B$38/12</f>
        <v>31.4209512604167</v>
      </c>
      <c r="E40" s="8" t="n">
        <f aca="false">E31/Assumptions!$B$37*Assumptions!$B$38/12</f>
        <v>62.1130742163021</v>
      </c>
      <c r="F40" s="8" t="n">
        <f aca="false">F31/Assumptions!$B$37*Assumptions!$B$38/12</f>
        <v>102.328258285398</v>
      </c>
      <c r="G40" s="8" t="n">
        <f aca="false">G31/Assumptions!$B$37*Assumptions!$B$38/12</f>
        <v>151.733196328743</v>
      </c>
      <c r="H40" s="8" t="n">
        <f aca="false">H31/Assumptions!$B$37*Assumptions!$B$38/12</f>
        <v>210.006246957237</v>
      </c>
      <c r="I40" s="8" t="n">
        <f aca="false">I31/Assumptions!$B$37*Assumptions!$B$38/12</f>
        <v>280.366192897067</v>
      </c>
      <c r="J40" s="8" t="n">
        <f aca="false">J31/Assumptions!$B$37*Assumptions!$B$38/12</f>
        <v>362.389992812336</v>
      </c>
      <c r="K40" s="8" t="n">
        <f aca="false">K31/Assumptions!$B$37*Assumptions!$B$38/12</f>
        <v>455.669411813904</v>
      </c>
      <c r="L40" s="8" t="n">
        <f aca="false">L31/Assumptions!$B$37*Assumptions!$B$38/12</f>
        <v>559.810503233751</v>
      </c>
      <c r="M40" s="8" t="n">
        <f aca="false">M31/Assumptions!$B$37*Assumptions!$B$38/12</f>
        <v>674.433108537236</v>
      </c>
      <c r="N40" s="8" t="n">
        <f aca="false">N31/Assumptions!$B$37*Assumptions!$B$38/12</f>
        <v>799.170374738433</v>
      </c>
      <c r="O40" s="8" t="n">
        <f aca="false">O31/Assumptions!$B$37*Assumptions!$B$38/12</f>
        <v>933.668288705921</v>
      </c>
      <c r="P40" s="8" t="n">
        <f aca="false">P31/Assumptions!$B$37*Assumptions!$B$38/12</f>
        <v>1077.58522776788</v>
      </c>
      <c r="Q40" s="8" t="n">
        <f aca="false">Q31/Assumptions!$B$37*Assumptions!$B$38/12</f>
        <v>1230.59152604601</v>
      </c>
      <c r="R40" s="8" t="n">
        <f aca="false">R31/Assumptions!$B$37*Assumptions!$B$38/12</f>
        <v>1381.77177055106</v>
      </c>
      <c r="S40" s="8" t="n">
        <f aca="false">S31/Assumptions!$B$37*Assumptions!$B$38/12</f>
        <v>1531.18987316511</v>
      </c>
      <c r="T40" s="8" t="n">
        <f aca="false">T31/Assumptions!$B$37*Assumptions!$B$38/12</f>
        <v>1678.90750885433</v>
      </c>
      <c r="U40" s="8" t="n">
        <f aca="false">U31/Assumptions!$B$37*Assumptions!$B$38/12</f>
        <v>1826.31442243332</v>
      </c>
      <c r="V40" s="8" t="n">
        <f aca="false">V31/Assumptions!$B$37*Assumptions!$B$38/12</f>
        <v>1973.42148917593</v>
      </c>
      <c r="W40" s="8" t="n">
        <f aca="false">W31/Assumptions!$B$37*Assumptions!$B$38/12</f>
        <v>2120.23920372144</v>
      </c>
      <c r="X40" s="8" t="n">
        <f aca="false">X31/Assumptions!$B$37*Assumptions!$B$38/12</f>
        <v>2263.24852673008</v>
      </c>
      <c r="Y40" s="8" t="n">
        <f aca="false">Y31/Assumptions!$B$37*Assumptions!$B$38/12</f>
        <v>2402.58275190563</v>
      </c>
      <c r="Z40" s="8" t="n">
        <f aca="false">Z31/Assumptions!$B$37*Assumptions!$B$38/12</f>
        <v>2538.37050767227</v>
      </c>
      <c r="AA40" s="8" t="n">
        <f aca="false">AA31/Assumptions!$B$37*Assumptions!$B$38/12</f>
        <v>2670.73592045929</v>
      </c>
      <c r="AB40" s="8" t="n">
        <f aca="false">AB31/Assumptions!$B$37*Assumptions!$B$38/12</f>
        <v>2799.798772271</v>
      </c>
      <c r="AC40" s="8" t="n">
        <f aca="false">AC31/Assumptions!$B$37*Assumptions!$B$38/12</f>
        <v>2925.67465274151</v>
      </c>
      <c r="AD40" s="8" t="n">
        <f aca="false">AD31/Assumptions!$B$37*Assumptions!$B$38/12</f>
        <v>3048.47510586778</v>
      </c>
      <c r="AE40" s="8" t="n">
        <f aca="false">AE31/Assumptions!$B$37*Assumptions!$B$38/12</f>
        <v>3168.30777160685</v>
      </c>
      <c r="AF40" s="8" t="n">
        <f aca="false">AF31/Assumptions!$B$37*Assumptions!$B$38/12</f>
        <v>3285.27652251728</v>
      </c>
      <c r="AG40" s="8" t="n">
        <f aca="false">AG31/Assumptions!$B$37*Assumptions!$B$38/12</f>
        <v>3399.48159561806</v>
      </c>
      <c r="AH40" s="8" t="n">
        <f aca="false">AH31/Assumptions!$B$37*Assumptions!$B$38/12</f>
        <v>3511.01971963254</v>
      </c>
      <c r="AI40" s="8" t="n">
        <f aca="false">AI31/Assumptions!$B$37*Assumptions!$B$38/12</f>
        <v>3619.98423777874</v>
      </c>
      <c r="AJ40" s="8" t="n">
        <f aca="false">AJ31/Assumptions!$B$37*Assumptions!$B$38/12</f>
        <v>3725.13499778981</v>
      </c>
      <c r="AK40" s="8" t="n">
        <f aca="false">AK31/Assumptions!$B$37*Assumptions!$B$38/12</f>
        <v>3826.6054812005</v>
      </c>
      <c r="AL40" s="8" t="n">
        <f aca="false">AL31/Assumptions!$B$37*Assumptions!$B$38/12</f>
        <v>3924.52449769182</v>
      </c>
      <c r="AM40" s="8" t="n">
        <f aca="false">AM31/Assumptions!$B$37*Assumptions!$B$38/12</f>
        <v>4019.01634860594</v>
      </c>
      <c r="AN40" s="8" t="n">
        <f aca="false">AN31/Assumptions!$B$37*Assumptions!$B$38/12</f>
        <v>4110.20098473806</v>
      </c>
      <c r="AO40" s="8" t="n">
        <f aca="false">AO31/Assumptions!$B$37*Assumptions!$B$38/12</f>
        <v>4198.19415860557</v>
      </c>
      <c r="AP40" s="8" t="n">
        <f aca="false">AP31/Assumptions!$B$37*Assumptions!$B$38/12</f>
        <v>4283.1075713877</v>
      </c>
      <c r="AQ40" s="8" t="n">
        <f aca="false">AQ31/Assumptions!$B$37*Assumptions!$B$38/12</f>
        <v>4365.04901472247</v>
      </c>
      <c r="AR40" s="8" t="n">
        <f aca="false">AR31/Assumptions!$B$37*Assumptions!$B$38/12</f>
        <v>4444.12250754051</v>
      </c>
      <c r="AS40" s="8" t="n">
        <f aca="false">AS31/Assumptions!$B$37*Assumptions!$B$38/12</f>
        <v>4520.42842810993</v>
      </c>
      <c r="AT40" s="8" t="n">
        <f aca="false">AT31/Assumptions!$B$37*Assumptions!$B$38/12</f>
        <v>4594.06364145941</v>
      </c>
      <c r="AU40" s="8" t="n">
        <f aca="false">AU31/Assumptions!$B$37*Assumptions!$B$38/12</f>
        <v>4665.12162234167</v>
      </c>
      <c r="AV40" s="8" t="n">
        <f aca="false">AV31/Assumptions!$B$37*Assumptions!$B$38/12</f>
        <v>4733.69257389304</v>
      </c>
      <c r="AW40" s="8" t="n">
        <f aca="false">AW31/Assumptions!$B$37*Assumptions!$B$38/12</f>
        <v>4799.86354214012</v>
      </c>
      <c r="AX40" s="8" t="n">
        <f aca="false">AX31/Assumptions!$B$37*Assumptions!$B$38/12</f>
        <v>4863.71852649855</v>
      </c>
      <c r="AY40" s="8" t="n">
        <f aca="false">AY31/Assumptions!$B$37*Assumptions!$B$38/12</f>
        <v>4925.33858640443</v>
      </c>
      <c r="AZ40" s="8" t="n">
        <f aca="false">AZ31/Assumptions!$B$37*Assumptions!$B$38/12</f>
        <v>4984.80194421361</v>
      </c>
      <c r="BA40" s="8" t="n">
        <f aca="false">BA31/Assumptions!$B$37*Assumptions!$B$38/12</f>
        <v>5042.18408449947</v>
      </c>
      <c r="BB40" s="8" t="n">
        <f aca="false">BB31/Assumptions!$B$37*Assumptions!$B$38/12</f>
        <v>5097.55784987532</v>
      </c>
      <c r="BC40" s="8" t="n">
        <f aca="false">BC31/Assumptions!$B$37*Assumptions!$B$38/12</f>
        <v>5150.99353346302</v>
      </c>
      <c r="BD40" s="8" t="n">
        <f aca="false">BD31/Assumptions!$B$37*Assumptions!$B$38/12</f>
        <v>5202.55896812515</v>
      </c>
      <c r="BE40" s="8" t="n">
        <f aca="false">BE31/Assumptions!$B$37*Assumptions!$B$38/12</f>
        <v>5252.3196125741</v>
      </c>
      <c r="BF40" s="8" t="n">
        <f aca="false">BF31/Assumptions!$B$37*Assumptions!$B$38/12</f>
        <v>5300.33863446734</v>
      </c>
      <c r="BG40" s="8" t="n">
        <f aca="false">BG31/Assumptions!$B$37*Assumptions!$B$38/12</f>
        <v>5346.67699059432</v>
      </c>
      <c r="BH40" s="8" t="n">
        <f aca="false">BH31/Assumptions!$B$37*Assumptions!$B$38/12</f>
        <v>5391.39350425685</v>
      </c>
      <c r="BI40" s="8" t="n">
        <f aca="false">BI31/Assumptions!$B$37*Assumptions!$B$38/12</f>
        <v>5434.54493994119</v>
      </c>
      <c r="BJ40" s="8" t="n">
        <f aca="false">BJ31/Assumptions!$B$37*Assumptions!$B$38/12</f>
        <v>5476.18607537658</v>
      </c>
    </row>
    <row r="41" customFormat="false" ht="15" hidden="false" customHeight="false" outlineLevel="0" collapsed="false">
      <c r="A41" s="10" t="s">
        <v>129</v>
      </c>
      <c r="C41" s="11" t="n">
        <f aca="false">SUM(C38:C40)</f>
        <v>262.867986957467</v>
      </c>
      <c r="D41" s="11" t="n">
        <f aca="false">SUM(D38:D40)</f>
        <v>288.153581328889</v>
      </c>
      <c r="E41" s="11" t="n">
        <f aca="false">SUM(E38:E40)</f>
        <v>325.422166854778</v>
      </c>
      <c r="F41" s="11" t="n">
        <f aca="false">SUM(F38:F40)</f>
        <v>374.254338844727</v>
      </c>
      <c r="G41" s="11" t="n">
        <f aca="false">SUM(G38:G40)</f>
        <v>434.245371772495</v>
      </c>
      <c r="H41" s="11" t="n">
        <f aca="false">SUM(H38:H40)</f>
        <v>505.004705505258</v>
      </c>
      <c r="I41" s="11" t="n">
        <f aca="false">SUM(I38:I40)</f>
        <v>590.494077441507</v>
      </c>
      <c r="J41" s="11" t="n">
        <f aca="false">SUM(J38:J40)</f>
        <v>690.197936244121</v>
      </c>
      <c r="K41" s="11" t="n">
        <f aca="false">SUM(K38:K40)</f>
        <v>803.618774872777</v>
      </c>
      <c r="L41" s="11" t="n">
        <f aca="false">SUM(L38:L40)</f>
        <v>930.276499033563</v>
      </c>
      <c r="M41" s="11" t="n">
        <f aca="false">SUM(M38:M40)</f>
        <v>1069.70781773285</v>
      </c>
      <c r="N41" s="11" t="n">
        <f aca="false">SUM(N38:N40)</f>
        <v>1221.4656551618</v>
      </c>
      <c r="O41" s="11" t="n">
        <f aca="false">SUM(O38:O40)</f>
        <v>1385.11858316487</v>
      </c>
      <c r="P41" s="11" t="n">
        <f aca="false">SUM(P38:P40)</f>
        <v>1560.25027357197</v>
      </c>
      <c r="Q41" s="11" t="n">
        <f aca="false">SUM(Q38:Q40)</f>
        <v>1746.45896969895</v>
      </c>
      <c r="R41" s="11" t="n">
        <f aca="false">SUM(R38:R40)</f>
        <v>1930.48898938816</v>
      </c>
      <c r="S41" s="11" t="n">
        <f aca="false">SUM(S38:S40)</f>
        <v>2112.4165863149</v>
      </c>
      <c r="T41" s="11" t="n">
        <f aca="false">SUM(T38:T40)</f>
        <v>2292.31534527588</v>
      </c>
      <c r="U41" s="11" t="n">
        <f aca="false">SUM(U38:U40)</f>
        <v>2471.94061921139</v>
      </c>
      <c r="V41" s="11" t="n">
        <f aca="false">SUM(V38:V40)</f>
        <v>2651.30198009733</v>
      </c>
      <c r="W41" s="11" t="n">
        <f aca="false">SUM(W38:W40)</f>
        <v>2830.40866489043</v>
      </c>
      <c r="X41" s="11" t="n">
        <f aca="false">SUM(X38:X40)</f>
        <v>3004.93095932728</v>
      </c>
      <c r="Y41" s="11" t="n">
        <f aca="false">SUM(Y38:Y40)</f>
        <v>3175.02931707033</v>
      </c>
      <c r="Z41" s="11" t="n">
        <f aca="false">SUM(Z38:Z40)</f>
        <v>3340.85857590388</v>
      </c>
      <c r="AA41" s="11" t="n">
        <f aca="false">SUM(AA38:AA40)</f>
        <v>3502.56815428976</v>
      </c>
      <c r="AB41" s="11" t="n">
        <f aca="false">SUM(AB38:AB40)</f>
        <v>3660.30224104364</v>
      </c>
      <c r="AC41" s="11" t="n">
        <f aca="false">SUM(AC38:AC40)</f>
        <v>3814.19997837263</v>
      </c>
      <c r="AD41" s="11" t="n">
        <f aca="false">SUM(AD38:AD40)</f>
        <v>3964.39563850661</v>
      </c>
      <c r="AE41" s="11" t="n">
        <f aca="false">SUM(AE38:AE40)</f>
        <v>4111.0187941474</v>
      </c>
      <c r="AF41" s="11" t="n">
        <f aca="false">SUM(AF38:AF40)</f>
        <v>4254.19448295227</v>
      </c>
      <c r="AG41" s="11" t="n">
        <f aca="false">SUM(AG38:AG40)</f>
        <v>4394.04336626047</v>
      </c>
      <c r="AH41" s="11" t="n">
        <f aca="false">SUM(AH38:AH40)</f>
        <v>4530.68188226438</v>
      </c>
      <c r="AI41" s="11" t="n">
        <f aca="false">SUM(AI38:AI40)</f>
        <v>4664.22239381967</v>
      </c>
      <c r="AJ41" s="11" t="n">
        <f aca="false">SUM(AJ38:AJ40)</f>
        <v>4793.08898747051</v>
      </c>
      <c r="AK41" s="11" t="n">
        <f aca="false">SUM(AK38:AK40)</f>
        <v>4917.44525034357</v>
      </c>
      <c r="AL41" s="11" t="n">
        <f aca="false">SUM(AL38:AL40)</f>
        <v>5037.44904401608</v>
      </c>
      <c r="AM41" s="11" t="n">
        <f aca="false">SUM(AM38:AM40)</f>
        <v>5153.25270491005</v>
      </c>
      <c r="AN41" s="11" t="n">
        <f aca="false">SUM(AN38:AN40)</f>
        <v>5265.00323767273</v>
      </c>
      <c r="AO41" s="11" t="n">
        <f aca="false">SUM(AO38:AO40)</f>
        <v>5372.84250178872</v>
      </c>
      <c r="AP41" s="11" t="n">
        <f aca="false">SUM(AP38:AP40)</f>
        <v>5476.90739166065</v>
      </c>
      <c r="AQ41" s="11" t="n">
        <f aca="false">SUM(AQ38:AQ40)</f>
        <v>5577.33001038706</v>
      </c>
      <c r="AR41" s="11" t="n">
        <f aca="false">SUM(AR38:AR40)</f>
        <v>5674.23783745805</v>
      </c>
      <c r="AS41" s="11" t="n">
        <f aca="false">SUM(AS38:AS40)</f>
        <v>5767.75389058155</v>
      </c>
      <c r="AT41" s="11" t="n">
        <f aca="false">SUM(AT38:AT40)</f>
        <v>5857.99688184573</v>
      </c>
      <c r="AU41" s="11" t="n">
        <f aca="false">SUM(AU38:AU40)</f>
        <v>5945.08136841566</v>
      </c>
      <c r="AV41" s="11" t="n">
        <f aca="false">SUM(AV38:AV40)</f>
        <v>6029.11789795564</v>
      </c>
      <c r="AW41" s="11" t="n">
        <f aca="false">SUM(AW38:AW40)</f>
        <v>6110.21314896173</v>
      </c>
      <c r="AX41" s="11" t="n">
        <f aca="false">SUM(AX38:AX40)</f>
        <v>6188.4700661826</v>
      </c>
      <c r="AY41" s="11" t="n">
        <f aca="false">SUM(AY38:AY40)</f>
        <v>6263.98799130075</v>
      </c>
      <c r="AZ41" s="11" t="n">
        <f aca="false">SUM(AZ38:AZ40)</f>
        <v>6336.86278903975</v>
      </c>
      <c r="BA41" s="11" t="n">
        <f aca="false">SUM(BA38:BA40)</f>
        <v>6407.1869688579</v>
      </c>
      <c r="BB41" s="11" t="n">
        <f aca="false">SUM(BB38:BB40)</f>
        <v>6475.0498023824</v>
      </c>
      <c r="BC41" s="11" t="n">
        <f aca="false">SUM(BC38:BC40)</f>
        <v>6540.53743673355</v>
      </c>
      <c r="BD41" s="11" t="n">
        <f aca="false">SUM(BD38:BD40)</f>
        <v>6603.73300388241</v>
      </c>
      <c r="BE41" s="11" t="n">
        <f aca="false">SUM(BE38:BE40)</f>
        <v>6664.71672618106</v>
      </c>
      <c r="BF41" s="11" t="n">
        <f aca="false">SUM(BF38:BF40)</f>
        <v>6723.56601819926</v>
      </c>
      <c r="BG41" s="11" t="n">
        <f aca="false">SUM(BG38:BG40)</f>
        <v>6780.35558499682</v>
      </c>
      <c r="BH41" s="11" t="n">
        <f aca="false">SUM(BH38:BH40)</f>
        <v>6835.15751695646</v>
      </c>
      <c r="BI41" s="11" t="n">
        <f aca="false">SUM(BI38:BI40)</f>
        <v>6888.04138129752</v>
      </c>
      <c r="BJ41" s="11" t="n">
        <f aca="false">SUM(BJ38:BJ40)</f>
        <v>6939.07431038664</v>
      </c>
    </row>
    <row r="42" customFormat="false" ht="15" hidden="false" customHeight="false" outlineLevel="0" collapsed="false">
      <c r="A42" s="10" t="s">
        <v>130</v>
      </c>
      <c r="C42" s="11" t="n">
        <f aca="false">C35-C41</f>
        <v>-215.422976757467</v>
      </c>
      <c r="D42" s="11" t="n">
        <f aca="false">D35-D41</f>
        <v>-147.479126085889</v>
      </c>
      <c r="E42" s="11" t="n">
        <f aca="false">E35-E41</f>
        <v>-47.3362869452826</v>
      </c>
      <c r="F42" s="11" t="n">
        <f aca="false">F35-F41</f>
        <v>83.8785760679356</v>
      </c>
      <c r="G42" s="11" t="n">
        <f aca="false">G35-G41</f>
        <v>245.077942118224</v>
      </c>
      <c r="H42" s="11" t="n">
        <f aca="false">H35-H41</f>
        <v>435.212353599287</v>
      </c>
      <c r="I42" s="11" t="n">
        <f aca="false">I35-I41</f>
        <v>666.567395994378</v>
      </c>
      <c r="J42" s="11" t="n">
        <f aca="false">J35-J41</f>
        <v>937.700347221508</v>
      </c>
      <c r="K42" s="11" t="n">
        <f aca="false">K35-K41</f>
        <v>1247.21898047156</v>
      </c>
      <c r="L42" s="11" t="n">
        <f aca="false">L35-L41</f>
        <v>1593.77979687372</v>
      </c>
      <c r="M42" s="11" t="n">
        <f aca="false">M35-M41</f>
        <v>1976.08632001767</v>
      </c>
      <c r="N42" s="11" t="n">
        <f aca="false">N35-N41</f>
        <v>2392.88745016745</v>
      </c>
      <c r="O42" s="11" t="n">
        <f aca="false">O35-O41</f>
        <v>2842.97587607786</v>
      </c>
      <c r="P42" s="11" t="n">
        <f aca="false">P35-P41</f>
        <v>3325.18654239727</v>
      </c>
      <c r="Q42" s="11" t="n">
        <f aca="false">Q35-Q41</f>
        <v>3838.39517071136</v>
      </c>
      <c r="R42" s="11" t="n">
        <f aca="false">R35-R41</f>
        <v>4346.9398091078</v>
      </c>
      <c r="S42" s="11" t="n">
        <f aca="false">S35-S41</f>
        <v>4850.98369723369</v>
      </c>
      <c r="T42" s="11" t="n">
        <f aca="false">T35-T41</f>
        <v>5350.68436134851</v>
      </c>
      <c r="U42" s="11" t="n">
        <f aca="false">U35-U41</f>
        <v>5852.84724600114</v>
      </c>
      <c r="V42" s="11" t="n">
        <f aca="false">V35-V41</f>
        <v>6357.38617347277</v>
      </c>
      <c r="W42" s="11" t="n">
        <f aca="false">W35-W41</f>
        <v>6864.21798226471</v>
      </c>
      <c r="X42" s="11" t="n">
        <f aca="false">X35-X41</f>
        <v>7359.96410945744</v>
      </c>
      <c r="Y42" s="11" t="n">
        <f aca="false">Y35-Y41</f>
        <v>7845.01255390692</v>
      </c>
      <c r="Z42" s="11" t="n">
        <f aca="false">Z35-Z41</f>
        <v>8319.73773450916</v>
      </c>
      <c r="AA42" s="11" t="n">
        <f aca="false">AA35-AA41</f>
        <v>8784.50096549882</v>
      </c>
      <c r="AB42" s="11" t="n">
        <f aca="false">AB35-AB41</f>
        <v>9239.65091511235</v>
      </c>
      <c r="AC42" s="11" t="n">
        <f aca="false">AC35-AC41</f>
        <v>9685.52404819789</v>
      </c>
      <c r="AD42" s="11" t="n">
        <f aca="false">AD35-AD41</f>
        <v>10122.4450533339</v>
      </c>
      <c r="AE42" s="11" t="n">
        <f aca="false">AE35-AE41</f>
        <v>10550.7272549987</v>
      </c>
      <c r="AF42" s="11" t="n">
        <f aca="false">AF35-AF41</f>
        <v>10970.6730113137</v>
      </c>
      <c r="AG42" s="11" t="n">
        <f aca="false">AG35-AG41</f>
        <v>11382.5740978662</v>
      </c>
      <c r="AH42" s="11" t="n">
        <f aca="false">AH35-AH41</f>
        <v>11786.7120780979</v>
      </c>
      <c r="AI42" s="11" t="n">
        <f aca="false">AI35-AI41</f>
        <v>12183.3586607299</v>
      </c>
      <c r="AJ42" s="11" t="n">
        <f aca="false">AJ35-AJ41</f>
        <v>12566.1226129698</v>
      </c>
      <c r="AK42" s="11" t="n">
        <f aca="false">AK35-AK41</f>
        <v>12935.4898268814</v>
      </c>
      <c r="AL42" s="11" t="n">
        <f aca="false">AL35-AL41</f>
        <v>13291.929188306</v>
      </c>
      <c r="AM42" s="11" t="n">
        <f aca="false">AM35-AM41</f>
        <v>13635.8931720807</v>
      </c>
      <c r="AN42" s="11" t="n">
        <f aca="false">AN35-AN41</f>
        <v>13967.8184164234</v>
      </c>
      <c r="AO42" s="11" t="n">
        <f aca="false">AO35-AO41</f>
        <v>14288.126277214</v>
      </c>
      <c r="AP42" s="11" t="n">
        <f aca="false">AP35-AP41</f>
        <v>14597.223362877</v>
      </c>
      <c r="AQ42" s="11" t="n">
        <f aca="false">AQ35-AQ41</f>
        <v>14895.5020505418</v>
      </c>
      <c r="AR42" s="11" t="n">
        <f aca="false">AR35-AR41</f>
        <v>15183.3409841383</v>
      </c>
      <c r="AS42" s="11" t="n">
        <f aca="false">AS35-AS41</f>
        <v>15461.1055550589</v>
      </c>
      <c r="AT42" s="11" t="n">
        <f aca="false">AT35-AT41</f>
        <v>15729.1483659973</v>
      </c>
      <c r="AU42" s="11" t="n">
        <f aca="false">AU35-AU41</f>
        <v>15987.8096785529</v>
      </c>
      <c r="AV42" s="11" t="n">
        <f aca="false">AV35-AV41</f>
        <v>16237.417845169</v>
      </c>
      <c r="AW42" s="11" t="n">
        <f aca="false">AW35-AW41</f>
        <v>16478.2897259535</v>
      </c>
      <c r="AX42" s="11" t="n">
        <f aca="false">AX35-AX41</f>
        <v>16710.7310909106</v>
      </c>
      <c r="AY42" s="11" t="n">
        <f aca="false">AY35-AY41</f>
        <v>16935.0370080942</v>
      </c>
      <c r="AZ42" s="11" t="n">
        <f aca="false">AZ35-AZ41</f>
        <v>17151.4922181764</v>
      </c>
      <c r="BA42" s="11" t="n">
        <f aca="false">BA35-BA41</f>
        <v>17360.3714959057</v>
      </c>
      <c r="BB42" s="11" t="n">
        <f aca="false">BB35-BB41</f>
        <v>17561.9399989145</v>
      </c>
      <c r="BC42" s="11" t="n">
        <f aca="false">BC35-BC41</f>
        <v>17756.4536043179</v>
      </c>
      <c r="BD42" s="11" t="n">
        <f aca="false">BD35-BD41</f>
        <v>17944.1592335323</v>
      </c>
      <c r="BE42" s="11" t="n">
        <f aca="false">BE35-BE41</f>
        <v>18125.2951657241</v>
      </c>
      <c r="BF42" s="11" t="n">
        <f aca="false">BF35-BF41</f>
        <v>18300.0913402892</v>
      </c>
      <c r="BG42" s="11" t="n">
        <f aca="false">BG35-BG41</f>
        <v>18468.7696487446</v>
      </c>
      <c r="BH42" s="11" t="n">
        <f aca="false">BH35-BH41</f>
        <v>18631.544216404</v>
      </c>
      <c r="BI42" s="11" t="n">
        <f aca="false">BI35-BI41</f>
        <v>18788.6216741953</v>
      </c>
      <c r="BJ42" s="11" t="n">
        <f aca="false">BJ35-BJ41</f>
        <v>18940.2014209639</v>
      </c>
    </row>
    <row r="43" customFormat="false" ht="15" hidden="false" customHeight="false" outlineLevel="0" collapsed="false">
      <c r="A43" s="5" t="s">
        <v>13</v>
      </c>
      <c r="C43" s="9" t="n">
        <f aca="false">IF(C35=0,0,C42/C35)</f>
        <v>-4.54047698270843</v>
      </c>
      <c r="D43" s="9" t="n">
        <f aca="false">IF(D35=0,0,D42/D35)</f>
        <v>-1.04837175897454</v>
      </c>
      <c r="E43" s="9" t="n">
        <f aca="false">IF(E35=0,0,E42/E35)</f>
        <v>-0.170221828453457</v>
      </c>
      <c r="F43" s="9" t="n">
        <f aca="false">IF(F35=0,0,F42/F35)</f>
        <v>0.183087862359608</v>
      </c>
      <c r="G43" s="9" t="n">
        <f aca="false">IF(G35=0,0,G42/G35)</f>
        <v>0.360767748002904</v>
      </c>
      <c r="H43" s="9" t="n">
        <f aca="false">IF(H35=0,0,H42/H35)</f>
        <v>0.462884978936438</v>
      </c>
      <c r="I43" s="9" t="n">
        <f aca="false">IF(I35=0,0,I42/I35)</f>
        <v>0.530258392354092</v>
      </c>
      <c r="J43" s="9" t="n">
        <f aca="false">IF(J35=0,0,J42/J35)</f>
        <v>0.576019003610742</v>
      </c>
      <c r="K43" s="9" t="n">
        <f aca="false">IF(K35=0,0,K42/K35)</f>
        <v>0.608150974996142</v>
      </c>
      <c r="L43" s="9" t="n">
        <f aca="false">IF(L35=0,0,L42/L35)</f>
        <v>0.631435915061803</v>
      </c>
      <c r="M43" s="9" t="n">
        <f aca="false">IF(M35=0,0,M42/M35)</f>
        <v>0.648791819356876</v>
      </c>
      <c r="N43" s="9" t="n">
        <f aca="false">IF(N35=0,0,N42/N35)</f>
        <v>0.662051376950196</v>
      </c>
      <c r="O43" s="9" t="n">
        <f aca="false">IF(O35=0,0,O42/O35)</f>
        <v>0.672401220805991</v>
      </c>
      <c r="P43" s="9" t="n">
        <f aca="false">IF(P35=0,0,P42/P35)</f>
        <v>0.680632391258871</v>
      </c>
      <c r="Q43" s="9" t="n">
        <f aca="false">IF(Q35=0,0,Q42/Q35)</f>
        <v>0.687286556498924</v>
      </c>
      <c r="R43" s="9" t="n">
        <f aca="false">IF(R35=0,0,R42/R35)</f>
        <v>0.69247138416756</v>
      </c>
      <c r="S43" s="9" t="n">
        <f aca="false">IF(S35=0,0,S42/S35)</f>
        <v>0.696640075207855</v>
      </c>
      <c r="T43" s="9" t="n">
        <f aca="false">IF(T35=0,0,T42/T35)</f>
        <v>0.700076483937443</v>
      </c>
      <c r="U43" s="9" t="n">
        <f aca="false">IF(U35=0,0,U42/U35)</f>
        <v>0.703062629434548</v>
      </c>
      <c r="V43" s="9" t="n">
        <f aca="false">IF(V35=0,0,V42/V35)</f>
        <v>0.70569499855019</v>
      </c>
      <c r="W43" s="9" t="n">
        <f aca="false">IF(W35=0,0,W42/W35)</f>
        <v>0.708043561871358</v>
      </c>
      <c r="X43" s="9" t="n">
        <f aca="false">IF(X35=0,0,X42/X35)</f>
        <v>0.710085732717446</v>
      </c>
      <c r="Y43" s="9" t="n">
        <f aca="false">IF(Y35=0,0,Y42/Y35)</f>
        <v>0.711885911664982</v>
      </c>
      <c r="Z43" s="9" t="n">
        <f aca="false">IF(Z35=0,0,Z42/Z35)</f>
        <v>0.713491618527222</v>
      </c>
      <c r="AA43" s="9" t="n">
        <f aca="false">IF(AA35=0,0,AA42/AA35)</f>
        <v>0.714938679017537</v>
      </c>
      <c r="AB43" s="9" t="n">
        <f aca="false">IF(AB35=0,0,AB42/AB35)</f>
        <v>0.716254609862912</v>
      </c>
      <c r="AC43" s="9" t="n">
        <f aca="false">IF(AC35=0,0,AC42/AC35)</f>
        <v>0.717460892469697</v>
      </c>
      <c r="AD43" s="9" t="n">
        <f aca="false">IF(AD35=0,0,AD42/AD35)</f>
        <v>0.718574538803233</v>
      </c>
      <c r="AE43" s="9" t="n">
        <f aca="false">IF(AE35=0,0,AE42/AE35)</f>
        <v>0.719609193859498</v>
      </c>
      <c r="AF43" s="9" t="n">
        <f aca="false">IF(AF35=0,0,AF42/AF35)</f>
        <v>0.720575927208924</v>
      </c>
      <c r="AG43" s="9" t="n">
        <f aca="false">IF(AG35=0,0,AG42/AG35)</f>
        <v>0.721483811326999</v>
      </c>
      <c r="AH43" s="9" t="n">
        <f aca="false">IF(AH35=0,0,AH42/AH35)</f>
        <v>0.722340350838487</v>
      </c>
      <c r="AI43" s="9" t="n">
        <f aca="false">IF(AI35=0,0,AI42/AI35)</f>
        <v>0.723151805667668</v>
      </c>
      <c r="AJ43" s="9" t="n">
        <f aca="false">IF(AJ35=0,0,AJ42/AJ35)</f>
        <v>0.723887864391899</v>
      </c>
      <c r="AK43" s="9" t="n">
        <f aca="false">IF(AK35=0,0,AK42/AK35)</f>
        <v>0.724558162057242</v>
      </c>
      <c r="AL43" s="9" t="n">
        <f aca="false">IF(AL35=0,0,AL42/AL35)</f>
        <v>0.725170762468471</v>
      </c>
      <c r="AM43" s="9" t="n">
        <f aca="false">IF(AM35=0,0,AM42/AM35)</f>
        <v>0.725732466039304</v>
      </c>
      <c r="AN43" s="9" t="n">
        <f aca="false">IF(AN35=0,0,AN42/AN35)</f>
        <v>0.72624904798868</v>
      </c>
      <c r="AO43" s="9" t="n">
        <f aca="false">IF(AO35=0,0,AO42/AO35)</f>
        <v>0.72672544460135</v>
      </c>
      <c r="AP43" s="9" t="n">
        <f aca="false">IF(AP35=0,0,AP42/AP35)</f>
        <v>0.727165900300683</v>
      </c>
      <c r="AQ43" s="9" t="n">
        <f aca="false">IF(AQ35=0,0,AQ42/AQ35)</f>
        <v>0.727574084826737</v>
      </c>
      <c r="AR43" s="9" t="n">
        <f aca="false">IF(AR35=0,0,AR42/AR35)</f>
        <v>0.727953187376531</v>
      </c>
      <c r="AS43" s="9" t="n">
        <f aca="false">IF(AS35=0,0,AS42/AS35)</f>
        <v>0.728305992823086</v>
      </c>
      <c r="AT43" s="9" t="n">
        <f aca="false">IF(AT35=0,0,AT42/AT35)</f>
        <v>0.728634943871004</v>
      </c>
      <c r="AU43" s="9" t="n">
        <f aca="false">IF(AU35=0,0,AU42/AU35)</f>
        <v>0.728942192085646</v>
      </c>
      <c r="AV43" s="9" t="n">
        <f aca="false">IF(AV35=0,0,AV42/AV35)</f>
        <v>0.729229640052235</v>
      </c>
      <c r="AW43" s="9" t="n">
        <f aca="false">IF(AW35=0,0,AW42/AW35)</f>
        <v>0.729498976413033</v>
      </c>
      <c r="AX43" s="9" t="n">
        <f aca="false">IF(AX35=0,0,AX42/AX35)</f>
        <v>0.729751705147772</v>
      </c>
      <c r="AY43" s="9" t="n">
        <f aca="false">IF(AY35=0,0,AY42/AY35)</f>
        <v>0.729989170171414</v>
      </c>
      <c r="AZ43" s="9" t="n">
        <f aca="false">IF(AZ35=0,0,AZ42/AZ35)</f>
        <v>0.730212576100245</v>
      </c>
      <c r="BA43" s="9" t="n">
        <f aca="false">IF(BA35=0,0,BA42/BA35)</f>
        <v>0.73042300586504</v>
      </c>
      <c r="BB43" s="9" t="n">
        <f aca="false">IF(BB35=0,0,BB42/BB35)</f>
        <v>0.730621435716004</v>
      </c>
      <c r="BC43" s="9" t="n">
        <f aca="false">IF(BC35=0,0,BC42/BC35)</f>
        <v>0.730808748059262</v>
      </c>
      <c r="BD43" s="9" t="n">
        <f aca="false">IF(BD35=0,0,BD42/BD35)</f>
        <v>0.730985742481901</v>
      </c>
      <c r="BE43" s="9" t="n">
        <f aca="false">IF(BE35=0,0,BE42/BE35)</f>
        <v>0.731153145256968</v>
      </c>
      <c r="BF43" s="9" t="n">
        <f aca="false">IF(BF35=0,0,BF42/BF35)</f>
        <v>0.731311617567426</v>
      </c>
      <c r="BG43" s="9" t="n">
        <f aca="false">IF(BG35=0,0,BG42/BG35)</f>
        <v>0.731461762646099</v>
      </c>
      <c r="BH43" s="9" t="n">
        <f aca="false">IF(BH35=0,0,BH42/BH35)</f>
        <v>0.731604131994735</v>
      </c>
      <c r="BI43" s="9" t="n">
        <f aca="false">IF(BI35=0,0,BI42/BI35)</f>
        <v>0.731739230817845</v>
      </c>
      <c r="BJ43" s="9" t="n">
        <f aca="false">IF(BJ35=0,0,BJ42/BJ35)</f>
        <v>0.73186752278463</v>
      </c>
    </row>
    <row r="45" customFormat="false" ht="15" hidden="false" customHeight="false" outlineLevel="0" collapsed="false">
      <c r="A45" s="10" t="s">
        <v>131</v>
      </c>
    </row>
    <row r="46" customFormat="false" ht="15" hidden="false" customHeight="false" outlineLevel="0" collapsed="false">
      <c r="A46" s="5" t="s">
        <v>132</v>
      </c>
      <c r="C46" s="8" t="n">
        <f aca="false">INDEX(Assumptions!$B$50:$F$50,C5)*Assumptions!$B$39/12</f>
        <v>2916.66666666667</v>
      </c>
      <c r="D46" s="8" t="n">
        <f aca="false">INDEX(Assumptions!$B$50:$F$50,D5)*Assumptions!$B$39/12</f>
        <v>2916.66666666667</v>
      </c>
      <c r="E46" s="8" t="n">
        <f aca="false">INDEX(Assumptions!$B$50:$F$50,E5)*Assumptions!$B$39/12</f>
        <v>2916.66666666667</v>
      </c>
      <c r="F46" s="8" t="n">
        <f aca="false">INDEX(Assumptions!$B$50:$F$50,F5)*Assumptions!$B$39/12</f>
        <v>2916.66666666667</v>
      </c>
      <c r="G46" s="8" t="n">
        <f aca="false">INDEX(Assumptions!$B$50:$F$50,G5)*Assumptions!$B$39/12</f>
        <v>2916.66666666667</v>
      </c>
      <c r="H46" s="8" t="n">
        <f aca="false">INDEX(Assumptions!$B$50:$F$50,H5)*Assumptions!$B$39/12</f>
        <v>2916.66666666667</v>
      </c>
      <c r="I46" s="8" t="n">
        <f aca="false">INDEX(Assumptions!$B$50:$F$50,I5)*Assumptions!$B$39/12</f>
        <v>2916.66666666667</v>
      </c>
      <c r="J46" s="8" t="n">
        <f aca="false">INDEX(Assumptions!$B$50:$F$50,J5)*Assumptions!$B$39/12</f>
        <v>2916.66666666667</v>
      </c>
      <c r="K46" s="8" t="n">
        <f aca="false">INDEX(Assumptions!$B$50:$F$50,K5)*Assumptions!$B$39/12</f>
        <v>2916.66666666667</v>
      </c>
      <c r="L46" s="8" t="n">
        <f aca="false">INDEX(Assumptions!$B$50:$F$50,L5)*Assumptions!$B$39/12</f>
        <v>2916.66666666667</v>
      </c>
      <c r="M46" s="8" t="n">
        <f aca="false">INDEX(Assumptions!$B$50:$F$50,M5)*Assumptions!$B$39/12</f>
        <v>2916.66666666667</v>
      </c>
      <c r="N46" s="8" t="n">
        <f aca="false">INDEX(Assumptions!$B$50:$F$50,N5)*Assumptions!$B$39/12</f>
        <v>2916.66666666667</v>
      </c>
      <c r="O46" s="8" t="n">
        <f aca="false">INDEX(Assumptions!$B$50:$F$50,O5)*Assumptions!$B$39/12</f>
        <v>5833.33333333333</v>
      </c>
      <c r="P46" s="8" t="n">
        <f aca="false">INDEX(Assumptions!$B$50:$F$50,P5)*Assumptions!$B$39/12</f>
        <v>5833.33333333333</v>
      </c>
      <c r="Q46" s="8" t="n">
        <f aca="false">INDEX(Assumptions!$B$50:$F$50,Q5)*Assumptions!$B$39/12</f>
        <v>5833.33333333333</v>
      </c>
      <c r="R46" s="8" t="n">
        <f aca="false">INDEX(Assumptions!$B$50:$F$50,R5)*Assumptions!$B$39/12</f>
        <v>5833.33333333333</v>
      </c>
      <c r="S46" s="8" t="n">
        <f aca="false">INDEX(Assumptions!$B$50:$F$50,S5)*Assumptions!$B$39/12</f>
        <v>5833.33333333333</v>
      </c>
      <c r="T46" s="8" t="n">
        <f aca="false">INDEX(Assumptions!$B$50:$F$50,T5)*Assumptions!$B$39/12</f>
        <v>5833.33333333333</v>
      </c>
      <c r="U46" s="8" t="n">
        <f aca="false">INDEX(Assumptions!$B$50:$F$50,U5)*Assumptions!$B$39/12</f>
        <v>5833.33333333333</v>
      </c>
      <c r="V46" s="8" t="n">
        <f aca="false">INDEX(Assumptions!$B$50:$F$50,V5)*Assumptions!$B$39/12</f>
        <v>5833.33333333333</v>
      </c>
      <c r="W46" s="8" t="n">
        <f aca="false">INDEX(Assumptions!$B$50:$F$50,W5)*Assumptions!$B$39/12</f>
        <v>5833.33333333333</v>
      </c>
      <c r="X46" s="8" t="n">
        <f aca="false">INDEX(Assumptions!$B$50:$F$50,X5)*Assumptions!$B$39/12</f>
        <v>5833.33333333333</v>
      </c>
      <c r="Y46" s="8" t="n">
        <f aca="false">INDEX(Assumptions!$B$50:$F$50,Y5)*Assumptions!$B$39/12</f>
        <v>5833.33333333333</v>
      </c>
      <c r="Z46" s="8" t="n">
        <f aca="false">INDEX(Assumptions!$B$50:$F$50,Z5)*Assumptions!$B$39/12</f>
        <v>5833.33333333333</v>
      </c>
      <c r="AA46" s="8" t="n">
        <f aca="false">INDEX(Assumptions!$B$50:$F$50,AA5)*Assumptions!$B$39/12</f>
        <v>11666.6666666667</v>
      </c>
      <c r="AB46" s="8" t="n">
        <f aca="false">INDEX(Assumptions!$B$50:$F$50,AB5)*Assumptions!$B$39/12</f>
        <v>11666.6666666667</v>
      </c>
      <c r="AC46" s="8" t="n">
        <f aca="false">INDEX(Assumptions!$B$50:$F$50,AC5)*Assumptions!$B$39/12</f>
        <v>11666.6666666667</v>
      </c>
      <c r="AD46" s="8" t="n">
        <f aca="false">INDEX(Assumptions!$B$50:$F$50,AD5)*Assumptions!$B$39/12</f>
        <v>11666.6666666667</v>
      </c>
      <c r="AE46" s="8" t="n">
        <f aca="false">INDEX(Assumptions!$B$50:$F$50,AE5)*Assumptions!$B$39/12</f>
        <v>11666.6666666667</v>
      </c>
      <c r="AF46" s="8" t="n">
        <f aca="false">INDEX(Assumptions!$B$50:$F$50,AF5)*Assumptions!$B$39/12</f>
        <v>11666.6666666667</v>
      </c>
      <c r="AG46" s="8" t="n">
        <f aca="false">INDEX(Assumptions!$B$50:$F$50,AG5)*Assumptions!$B$39/12</f>
        <v>11666.6666666667</v>
      </c>
      <c r="AH46" s="8" t="n">
        <f aca="false">INDEX(Assumptions!$B$50:$F$50,AH5)*Assumptions!$B$39/12</f>
        <v>11666.6666666667</v>
      </c>
      <c r="AI46" s="8" t="n">
        <f aca="false">INDEX(Assumptions!$B$50:$F$50,AI5)*Assumptions!$B$39/12</f>
        <v>11666.6666666667</v>
      </c>
      <c r="AJ46" s="8" t="n">
        <f aca="false">INDEX(Assumptions!$B$50:$F$50,AJ5)*Assumptions!$B$39/12</f>
        <v>11666.6666666667</v>
      </c>
      <c r="AK46" s="8" t="n">
        <f aca="false">INDEX(Assumptions!$B$50:$F$50,AK5)*Assumptions!$B$39/12</f>
        <v>11666.6666666667</v>
      </c>
      <c r="AL46" s="8" t="n">
        <f aca="false">INDEX(Assumptions!$B$50:$F$50,AL5)*Assumptions!$B$39/12</f>
        <v>11666.6666666667</v>
      </c>
      <c r="AM46" s="8" t="n">
        <f aca="false">INDEX(Assumptions!$B$50:$F$50,AM5)*Assumptions!$B$39/12</f>
        <v>17500</v>
      </c>
      <c r="AN46" s="8" t="n">
        <f aca="false">INDEX(Assumptions!$B$50:$F$50,AN5)*Assumptions!$B$39/12</f>
        <v>17500</v>
      </c>
      <c r="AO46" s="8" t="n">
        <f aca="false">INDEX(Assumptions!$B$50:$F$50,AO5)*Assumptions!$B$39/12</f>
        <v>17500</v>
      </c>
      <c r="AP46" s="8" t="n">
        <f aca="false">INDEX(Assumptions!$B$50:$F$50,AP5)*Assumptions!$B$39/12</f>
        <v>17500</v>
      </c>
      <c r="AQ46" s="8" t="n">
        <f aca="false">INDEX(Assumptions!$B$50:$F$50,AQ5)*Assumptions!$B$39/12</f>
        <v>17500</v>
      </c>
      <c r="AR46" s="8" t="n">
        <f aca="false">INDEX(Assumptions!$B$50:$F$50,AR5)*Assumptions!$B$39/12</f>
        <v>17500</v>
      </c>
      <c r="AS46" s="8" t="n">
        <f aca="false">INDEX(Assumptions!$B$50:$F$50,AS5)*Assumptions!$B$39/12</f>
        <v>17500</v>
      </c>
      <c r="AT46" s="8" t="n">
        <f aca="false">INDEX(Assumptions!$B$50:$F$50,AT5)*Assumptions!$B$39/12</f>
        <v>17500</v>
      </c>
      <c r="AU46" s="8" t="n">
        <f aca="false">INDEX(Assumptions!$B$50:$F$50,AU5)*Assumptions!$B$39/12</f>
        <v>17500</v>
      </c>
      <c r="AV46" s="8" t="n">
        <f aca="false">INDEX(Assumptions!$B$50:$F$50,AV5)*Assumptions!$B$39/12</f>
        <v>17500</v>
      </c>
      <c r="AW46" s="8" t="n">
        <f aca="false">INDEX(Assumptions!$B$50:$F$50,AW5)*Assumptions!$B$39/12</f>
        <v>17500</v>
      </c>
      <c r="AX46" s="8" t="n">
        <f aca="false">INDEX(Assumptions!$B$50:$F$50,AX5)*Assumptions!$B$39/12</f>
        <v>17500</v>
      </c>
      <c r="AY46" s="8" t="n">
        <f aca="false">INDEX(Assumptions!$B$50:$F$50,AY5)*Assumptions!$B$39/12</f>
        <v>23333.3333333333</v>
      </c>
      <c r="AZ46" s="8" t="n">
        <f aca="false">INDEX(Assumptions!$B$50:$F$50,AZ5)*Assumptions!$B$39/12</f>
        <v>23333.3333333333</v>
      </c>
      <c r="BA46" s="8" t="n">
        <f aca="false">INDEX(Assumptions!$B$50:$F$50,BA5)*Assumptions!$B$39/12</f>
        <v>23333.3333333333</v>
      </c>
      <c r="BB46" s="8" t="n">
        <f aca="false">INDEX(Assumptions!$B$50:$F$50,BB5)*Assumptions!$B$39/12</f>
        <v>23333.3333333333</v>
      </c>
      <c r="BC46" s="8" t="n">
        <f aca="false">INDEX(Assumptions!$B$50:$F$50,BC5)*Assumptions!$B$39/12</f>
        <v>23333.3333333333</v>
      </c>
      <c r="BD46" s="8" t="n">
        <f aca="false">INDEX(Assumptions!$B$50:$F$50,BD5)*Assumptions!$B$39/12</f>
        <v>23333.3333333333</v>
      </c>
      <c r="BE46" s="8" t="n">
        <f aca="false">INDEX(Assumptions!$B$50:$F$50,BE5)*Assumptions!$B$39/12</f>
        <v>23333.3333333333</v>
      </c>
      <c r="BF46" s="8" t="n">
        <f aca="false">INDEX(Assumptions!$B$50:$F$50,BF5)*Assumptions!$B$39/12</f>
        <v>23333.3333333333</v>
      </c>
      <c r="BG46" s="8" t="n">
        <f aca="false">INDEX(Assumptions!$B$50:$F$50,BG5)*Assumptions!$B$39/12</f>
        <v>23333.3333333333</v>
      </c>
      <c r="BH46" s="8" t="n">
        <f aca="false">INDEX(Assumptions!$B$50:$F$50,BH5)*Assumptions!$B$39/12</f>
        <v>23333.3333333333</v>
      </c>
      <c r="BI46" s="8" t="n">
        <f aca="false">INDEX(Assumptions!$B$50:$F$50,BI5)*Assumptions!$B$39/12</f>
        <v>23333.3333333333</v>
      </c>
      <c r="BJ46" s="8" t="n">
        <f aca="false">INDEX(Assumptions!$B$50:$F$50,BJ5)*Assumptions!$B$39/12</f>
        <v>23333.3333333333</v>
      </c>
    </row>
    <row r="47" customFormat="false" ht="15" hidden="false" customHeight="false" outlineLevel="0" collapsed="false">
      <c r="A47" s="5" t="s">
        <v>133</v>
      </c>
      <c r="C47" s="8" t="n">
        <f aca="false">INDEX(Assumptions!$B$51:$F$51,C5)/12</f>
        <v>0</v>
      </c>
      <c r="D47" s="8" t="n">
        <f aca="false">INDEX(Assumptions!$B$51:$F$51,D5)/12</f>
        <v>0</v>
      </c>
      <c r="E47" s="8" t="n">
        <f aca="false">INDEX(Assumptions!$B$51:$F$51,E5)/12</f>
        <v>0</v>
      </c>
      <c r="F47" s="8" t="n">
        <f aca="false">INDEX(Assumptions!$B$51:$F$51,F5)/12</f>
        <v>0</v>
      </c>
      <c r="G47" s="8" t="n">
        <f aca="false">INDEX(Assumptions!$B$51:$F$51,G5)/12</f>
        <v>0</v>
      </c>
      <c r="H47" s="8" t="n">
        <f aca="false">INDEX(Assumptions!$B$51:$F$51,H5)/12</f>
        <v>0</v>
      </c>
      <c r="I47" s="8" t="n">
        <f aca="false">INDEX(Assumptions!$B$51:$F$51,I5)/12</f>
        <v>0</v>
      </c>
      <c r="J47" s="8" t="n">
        <f aca="false">INDEX(Assumptions!$B$51:$F$51,J5)/12</f>
        <v>0</v>
      </c>
      <c r="K47" s="8" t="n">
        <f aca="false">INDEX(Assumptions!$B$51:$F$51,K5)/12</f>
        <v>0</v>
      </c>
      <c r="L47" s="8" t="n">
        <f aca="false">INDEX(Assumptions!$B$51:$F$51,L5)/12</f>
        <v>0</v>
      </c>
      <c r="M47" s="8" t="n">
        <f aca="false">INDEX(Assumptions!$B$51:$F$51,M5)/12</f>
        <v>0</v>
      </c>
      <c r="N47" s="8" t="n">
        <f aca="false">INDEX(Assumptions!$B$51:$F$51,N5)/12</f>
        <v>0</v>
      </c>
      <c r="O47" s="8" t="n">
        <f aca="false">INDEX(Assumptions!$B$51:$F$51,O5)/12</f>
        <v>0</v>
      </c>
      <c r="P47" s="8" t="n">
        <f aca="false">INDEX(Assumptions!$B$51:$F$51,P5)/12</f>
        <v>0</v>
      </c>
      <c r="Q47" s="8" t="n">
        <f aca="false">INDEX(Assumptions!$B$51:$F$51,Q5)/12</f>
        <v>0</v>
      </c>
      <c r="R47" s="8" t="n">
        <f aca="false">INDEX(Assumptions!$B$51:$F$51,R5)/12</f>
        <v>0</v>
      </c>
      <c r="S47" s="8" t="n">
        <f aca="false">INDEX(Assumptions!$B$51:$F$51,S5)/12</f>
        <v>0</v>
      </c>
      <c r="T47" s="8" t="n">
        <f aca="false">INDEX(Assumptions!$B$51:$F$51,T5)/12</f>
        <v>0</v>
      </c>
      <c r="U47" s="8" t="n">
        <f aca="false">INDEX(Assumptions!$B$51:$F$51,U5)/12</f>
        <v>0</v>
      </c>
      <c r="V47" s="8" t="n">
        <f aca="false">INDEX(Assumptions!$B$51:$F$51,V5)/12</f>
        <v>0</v>
      </c>
      <c r="W47" s="8" t="n">
        <f aca="false">INDEX(Assumptions!$B$51:$F$51,W5)/12</f>
        <v>0</v>
      </c>
      <c r="X47" s="8" t="n">
        <f aca="false">INDEX(Assumptions!$B$51:$F$51,X5)/12</f>
        <v>0</v>
      </c>
      <c r="Y47" s="8" t="n">
        <f aca="false">INDEX(Assumptions!$B$51:$F$51,Y5)/12</f>
        <v>0</v>
      </c>
      <c r="Z47" s="8" t="n">
        <f aca="false">INDEX(Assumptions!$B$51:$F$51,Z5)/12</f>
        <v>0</v>
      </c>
      <c r="AA47" s="8" t="n">
        <f aca="false">INDEX(Assumptions!$B$51:$F$51,AA5)/12</f>
        <v>5000</v>
      </c>
      <c r="AB47" s="8" t="n">
        <f aca="false">INDEX(Assumptions!$B$51:$F$51,AB5)/12</f>
        <v>5000</v>
      </c>
      <c r="AC47" s="8" t="n">
        <f aca="false">INDEX(Assumptions!$B$51:$F$51,AC5)/12</f>
        <v>5000</v>
      </c>
      <c r="AD47" s="8" t="n">
        <f aca="false">INDEX(Assumptions!$B$51:$F$51,AD5)/12</f>
        <v>5000</v>
      </c>
      <c r="AE47" s="8" t="n">
        <f aca="false">INDEX(Assumptions!$B$51:$F$51,AE5)/12</f>
        <v>5000</v>
      </c>
      <c r="AF47" s="8" t="n">
        <f aca="false">INDEX(Assumptions!$B$51:$F$51,AF5)/12</f>
        <v>5000</v>
      </c>
      <c r="AG47" s="8" t="n">
        <f aca="false">INDEX(Assumptions!$B$51:$F$51,AG5)/12</f>
        <v>5000</v>
      </c>
      <c r="AH47" s="8" t="n">
        <f aca="false">INDEX(Assumptions!$B$51:$F$51,AH5)/12</f>
        <v>5000</v>
      </c>
      <c r="AI47" s="8" t="n">
        <f aca="false">INDEX(Assumptions!$B$51:$F$51,AI5)/12</f>
        <v>5000</v>
      </c>
      <c r="AJ47" s="8" t="n">
        <f aca="false">INDEX(Assumptions!$B$51:$F$51,AJ5)/12</f>
        <v>5000</v>
      </c>
      <c r="AK47" s="8" t="n">
        <f aca="false">INDEX(Assumptions!$B$51:$F$51,AK5)/12</f>
        <v>5000</v>
      </c>
      <c r="AL47" s="8" t="n">
        <f aca="false">INDEX(Assumptions!$B$51:$F$51,AL5)/12</f>
        <v>5000</v>
      </c>
      <c r="AM47" s="8" t="n">
        <f aca="false">INDEX(Assumptions!$B$51:$F$51,AM5)/12</f>
        <v>7500</v>
      </c>
      <c r="AN47" s="8" t="n">
        <f aca="false">INDEX(Assumptions!$B$51:$F$51,AN5)/12</f>
        <v>7500</v>
      </c>
      <c r="AO47" s="8" t="n">
        <f aca="false">INDEX(Assumptions!$B$51:$F$51,AO5)/12</f>
        <v>7500</v>
      </c>
      <c r="AP47" s="8" t="n">
        <f aca="false">INDEX(Assumptions!$B$51:$F$51,AP5)/12</f>
        <v>7500</v>
      </c>
      <c r="AQ47" s="8" t="n">
        <f aca="false">INDEX(Assumptions!$B$51:$F$51,AQ5)/12</f>
        <v>7500</v>
      </c>
      <c r="AR47" s="8" t="n">
        <f aca="false">INDEX(Assumptions!$B$51:$F$51,AR5)/12</f>
        <v>7500</v>
      </c>
      <c r="AS47" s="8" t="n">
        <f aca="false">INDEX(Assumptions!$B$51:$F$51,AS5)/12</f>
        <v>7500</v>
      </c>
      <c r="AT47" s="8" t="n">
        <f aca="false">INDEX(Assumptions!$B$51:$F$51,AT5)/12</f>
        <v>7500</v>
      </c>
      <c r="AU47" s="8" t="n">
        <f aca="false">INDEX(Assumptions!$B$51:$F$51,AU5)/12</f>
        <v>7500</v>
      </c>
      <c r="AV47" s="8" t="n">
        <f aca="false">INDEX(Assumptions!$B$51:$F$51,AV5)/12</f>
        <v>7500</v>
      </c>
      <c r="AW47" s="8" t="n">
        <f aca="false">INDEX(Assumptions!$B$51:$F$51,AW5)/12</f>
        <v>7500</v>
      </c>
      <c r="AX47" s="8" t="n">
        <f aca="false">INDEX(Assumptions!$B$51:$F$51,AX5)/12</f>
        <v>7500</v>
      </c>
      <c r="AY47" s="8" t="n">
        <f aca="false">INDEX(Assumptions!$B$51:$F$51,AY5)/12</f>
        <v>10000</v>
      </c>
      <c r="AZ47" s="8" t="n">
        <f aca="false">INDEX(Assumptions!$B$51:$F$51,AZ5)/12</f>
        <v>10000</v>
      </c>
      <c r="BA47" s="8" t="n">
        <f aca="false">INDEX(Assumptions!$B$51:$F$51,BA5)/12</f>
        <v>10000</v>
      </c>
      <c r="BB47" s="8" t="n">
        <f aca="false">INDEX(Assumptions!$B$51:$F$51,BB5)/12</f>
        <v>10000</v>
      </c>
      <c r="BC47" s="8" t="n">
        <f aca="false">INDEX(Assumptions!$B$51:$F$51,BC5)/12</f>
        <v>10000</v>
      </c>
      <c r="BD47" s="8" t="n">
        <f aca="false">INDEX(Assumptions!$B$51:$F$51,BD5)/12</f>
        <v>10000</v>
      </c>
      <c r="BE47" s="8" t="n">
        <f aca="false">INDEX(Assumptions!$B$51:$F$51,BE5)/12</f>
        <v>10000</v>
      </c>
      <c r="BF47" s="8" t="n">
        <f aca="false">INDEX(Assumptions!$B$51:$F$51,BF5)/12</f>
        <v>10000</v>
      </c>
      <c r="BG47" s="8" t="n">
        <f aca="false">INDEX(Assumptions!$B$51:$F$51,BG5)/12</f>
        <v>10000</v>
      </c>
      <c r="BH47" s="8" t="n">
        <f aca="false">INDEX(Assumptions!$B$51:$F$51,BH5)/12</f>
        <v>10000</v>
      </c>
      <c r="BI47" s="8" t="n">
        <f aca="false">INDEX(Assumptions!$B$51:$F$51,BI5)/12</f>
        <v>10000</v>
      </c>
      <c r="BJ47" s="8" t="n">
        <f aca="false">INDEX(Assumptions!$B$51:$F$51,BJ5)/12</f>
        <v>10000</v>
      </c>
    </row>
    <row r="48" customFormat="false" ht="15" hidden="false" customHeight="false" outlineLevel="0" collapsed="false">
      <c r="A48" s="5" t="s">
        <v>134</v>
      </c>
      <c r="C48" s="8" t="n">
        <f aca="false">C29*Assumptions!$C$27+Assumptions!$B$40</f>
        <v>2054.9124</v>
      </c>
      <c r="D48" s="8" t="n">
        <f aca="false">D29*Assumptions!$C$27+Assumptions!$B$40</f>
        <v>2609.8248</v>
      </c>
      <c r="E48" s="8" t="n">
        <f aca="false">E29*Assumptions!$C$27+Assumptions!$B$40</f>
        <v>3164.7372</v>
      </c>
      <c r="F48" s="8" t="n">
        <f aca="false">F29*Assumptions!$C$27+Assumptions!$B$40</f>
        <v>3719.6496</v>
      </c>
      <c r="G48" s="8" t="n">
        <f aca="false">G29*Assumptions!$C$27+Assumptions!$B$40</f>
        <v>4274.562</v>
      </c>
      <c r="H48" s="8" t="n">
        <f aca="false">H29*Assumptions!$C$27+Assumptions!$B$40</f>
        <v>4829.4744</v>
      </c>
      <c r="I48" s="8" t="n">
        <f aca="false">I29*Assumptions!$C$27+Assumptions!$B$40</f>
        <v>5569.1868</v>
      </c>
      <c r="J48" s="8" t="n">
        <f aca="false">J29*Assumptions!$C$27+Assumptions!$B$40</f>
        <v>6308.8992</v>
      </c>
      <c r="K48" s="8" t="n">
        <f aca="false">K29*Assumptions!$C$27+Assumptions!$B$40</f>
        <v>7048.6116</v>
      </c>
      <c r="L48" s="8" t="n">
        <f aca="false">L29*Assumptions!$C$27+Assumptions!$B$40</f>
        <v>7788.324</v>
      </c>
      <c r="M48" s="8" t="n">
        <f aca="false">M29*Assumptions!$C$27+Assumptions!$B$40</f>
        <v>8528.0364</v>
      </c>
      <c r="N48" s="8" t="n">
        <f aca="false">N29*Assumptions!$C$27+Assumptions!$B$40</f>
        <v>9267.7488</v>
      </c>
      <c r="O48" s="8" t="n">
        <f aca="false">O29*Assumptions!$C$27+Assumptions!$B$40</f>
        <v>10007.4612</v>
      </c>
      <c r="P48" s="8" t="n">
        <f aca="false">P29*Assumptions!$C$27+Assumptions!$B$40</f>
        <v>10747.1736</v>
      </c>
      <c r="Q48" s="8" t="n">
        <f aca="false">Q29*Assumptions!$C$27+Assumptions!$B$40</f>
        <v>11486.886</v>
      </c>
      <c r="R48" s="8" t="n">
        <f aca="false">R29*Assumptions!$C$27+Assumptions!$B$40</f>
        <v>11671.686</v>
      </c>
      <c r="S48" s="8" t="n">
        <f aca="false">S29*Assumptions!$C$27+Assumptions!$B$40</f>
        <v>11856.486</v>
      </c>
      <c r="T48" s="8" t="n">
        <f aca="false">T29*Assumptions!$C$27+Assumptions!$B$40</f>
        <v>12041.286</v>
      </c>
      <c r="U48" s="8" t="n">
        <f aca="false">U29*Assumptions!$C$27+Assumptions!$B$40</f>
        <v>12295.7416</v>
      </c>
      <c r="V48" s="8" t="n">
        <f aca="false">V29*Assumptions!$C$27+Assumptions!$B$40</f>
        <v>12550.1972</v>
      </c>
      <c r="W48" s="8" t="n">
        <f aca="false">W29*Assumptions!$C$27+Assumptions!$B$40</f>
        <v>12804.6528</v>
      </c>
      <c r="X48" s="8" t="n">
        <f aca="false">X29*Assumptions!$C$27+Assumptions!$B$40</f>
        <v>12874.3084</v>
      </c>
      <c r="Y48" s="8" t="n">
        <f aca="false">Y29*Assumptions!$C$27+Assumptions!$B$40</f>
        <v>12943.964</v>
      </c>
      <c r="Z48" s="8" t="n">
        <f aca="false">Z29*Assumptions!$C$27+Assumptions!$B$40</f>
        <v>13013.6196</v>
      </c>
      <c r="AA48" s="8" t="n">
        <f aca="false">AA29*Assumptions!$C$27+Assumptions!$B$40</f>
        <v>13083.2752</v>
      </c>
      <c r="AB48" s="8" t="n">
        <f aca="false">AB29*Assumptions!$C$27+Assumptions!$B$40</f>
        <v>13152.9308</v>
      </c>
      <c r="AC48" s="8" t="n">
        <f aca="false">AC29*Assumptions!$C$27+Assumptions!$B$40</f>
        <v>13222.5864</v>
      </c>
      <c r="AD48" s="8" t="n">
        <f aca="false">AD29*Assumptions!$C$27+Assumptions!$B$40</f>
        <v>13292.242</v>
      </c>
      <c r="AE48" s="8" t="n">
        <f aca="false">AE29*Assumptions!$C$27+Assumptions!$B$40</f>
        <v>13361.8976</v>
      </c>
      <c r="AF48" s="8" t="n">
        <f aca="false">AF29*Assumptions!$C$27+Assumptions!$B$40</f>
        <v>13431.5532</v>
      </c>
      <c r="AG48" s="8" t="n">
        <f aca="false">AG29*Assumptions!$C$27+Assumptions!$B$40</f>
        <v>13501.2088</v>
      </c>
      <c r="AH48" s="8" t="n">
        <f aca="false">AH29*Assumptions!$C$27+Assumptions!$B$40</f>
        <v>13570.8644</v>
      </c>
      <c r="AI48" s="8" t="n">
        <f aca="false">AI29*Assumptions!$C$27+Assumptions!$B$40</f>
        <v>13640.52</v>
      </c>
      <c r="AJ48" s="8" t="n">
        <f aca="false">AJ29*Assumptions!$C$27+Assumptions!$B$40</f>
        <v>13640.52</v>
      </c>
      <c r="AK48" s="8" t="n">
        <f aca="false">AK29*Assumptions!$C$27+Assumptions!$B$40</f>
        <v>13640.52</v>
      </c>
      <c r="AL48" s="8" t="n">
        <f aca="false">AL29*Assumptions!$C$27+Assumptions!$B$40</f>
        <v>13640.52</v>
      </c>
      <c r="AM48" s="8" t="n">
        <f aca="false">AM29*Assumptions!$C$27+Assumptions!$B$40</f>
        <v>13640.52</v>
      </c>
      <c r="AN48" s="8" t="n">
        <f aca="false">AN29*Assumptions!$C$27+Assumptions!$B$40</f>
        <v>13640.52</v>
      </c>
      <c r="AO48" s="8" t="n">
        <f aca="false">AO29*Assumptions!$C$27+Assumptions!$B$40</f>
        <v>13640.52</v>
      </c>
      <c r="AP48" s="8" t="n">
        <f aca="false">AP29*Assumptions!$C$27+Assumptions!$B$40</f>
        <v>13640.52</v>
      </c>
      <c r="AQ48" s="8" t="n">
        <f aca="false">AQ29*Assumptions!$C$27+Assumptions!$B$40</f>
        <v>13640.52</v>
      </c>
      <c r="AR48" s="8" t="n">
        <f aca="false">AR29*Assumptions!$C$27+Assumptions!$B$40</f>
        <v>13640.52</v>
      </c>
      <c r="AS48" s="8" t="n">
        <f aca="false">AS29*Assumptions!$C$27+Assumptions!$B$40</f>
        <v>13640.52</v>
      </c>
      <c r="AT48" s="8" t="n">
        <f aca="false">AT29*Assumptions!$C$27+Assumptions!$B$40</f>
        <v>13640.52</v>
      </c>
      <c r="AU48" s="8" t="n">
        <f aca="false">AU29*Assumptions!$C$27+Assumptions!$B$40</f>
        <v>13640.52</v>
      </c>
      <c r="AV48" s="8" t="n">
        <f aca="false">AV29*Assumptions!$C$27+Assumptions!$B$40</f>
        <v>13640.52</v>
      </c>
      <c r="AW48" s="8" t="n">
        <f aca="false">AW29*Assumptions!$C$27+Assumptions!$B$40</f>
        <v>13640.52</v>
      </c>
      <c r="AX48" s="8" t="n">
        <f aca="false">AX29*Assumptions!$C$27+Assumptions!$B$40</f>
        <v>13640.52</v>
      </c>
      <c r="AY48" s="8" t="n">
        <f aca="false">AY29*Assumptions!$C$27+Assumptions!$B$40</f>
        <v>13640.52</v>
      </c>
      <c r="AZ48" s="8" t="n">
        <f aca="false">AZ29*Assumptions!$C$27+Assumptions!$B$40</f>
        <v>13640.52</v>
      </c>
      <c r="BA48" s="8" t="n">
        <f aca="false">BA29*Assumptions!$C$27+Assumptions!$B$40</f>
        <v>13640.52</v>
      </c>
      <c r="BB48" s="8" t="n">
        <f aca="false">BB29*Assumptions!$C$27+Assumptions!$B$40</f>
        <v>13640.52</v>
      </c>
      <c r="BC48" s="8" t="n">
        <f aca="false">BC29*Assumptions!$C$27+Assumptions!$B$40</f>
        <v>13640.52</v>
      </c>
      <c r="BD48" s="8" t="n">
        <f aca="false">BD29*Assumptions!$C$27+Assumptions!$B$40</f>
        <v>13640.52</v>
      </c>
      <c r="BE48" s="8" t="n">
        <f aca="false">BE29*Assumptions!$C$27+Assumptions!$B$40</f>
        <v>13640.52</v>
      </c>
      <c r="BF48" s="8" t="n">
        <f aca="false">BF29*Assumptions!$C$27+Assumptions!$B$40</f>
        <v>13640.52</v>
      </c>
      <c r="BG48" s="8" t="n">
        <f aca="false">BG29*Assumptions!$C$27+Assumptions!$B$40</f>
        <v>13640.52</v>
      </c>
      <c r="BH48" s="8" t="n">
        <f aca="false">BH29*Assumptions!$C$27+Assumptions!$B$40</f>
        <v>13640.52</v>
      </c>
      <c r="BI48" s="8" t="n">
        <f aca="false">BI29*Assumptions!$C$27+Assumptions!$B$40</f>
        <v>13640.52</v>
      </c>
      <c r="BJ48" s="8" t="n">
        <f aca="false">BJ29*Assumptions!$C$27+Assumptions!$B$40</f>
        <v>13640.52</v>
      </c>
    </row>
    <row r="49" customFormat="false" ht="15" hidden="false" customHeight="false" outlineLevel="0" collapsed="false">
      <c r="A49" s="5" t="s">
        <v>135</v>
      </c>
      <c r="C49" s="8" t="n">
        <f aca="false">Assumptions!$B$44+IF(C4=1,Assumptions!$B$41,0)+IF(C4=Assumptions!$B$43,Assumptions!$B$42,0)</f>
        <v>20750</v>
      </c>
      <c r="D49" s="8" t="n">
        <f aca="false">Assumptions!$B$44+IF(D4=1,Assumptions!$B$41,0)+IF(D4=Assumptions!$B$43,Assumptions!$B$42,0)</f>
        <v>750</v>
      </c>
      <c r="E49" s="8" t="n">
        <f aca="false">Assumptions!$B$44+IF(E4=1,Assumptions!$B$41,0)+IF(E4=Assumptions!$B$43,Assumptions!$B$42,0)</f>
        <v>750</v>
      </c>
      <c r="F49" s="8" t="n">
        <f aca="false">Assumptions!$B$44+IF(F4=1,Assumptions!$B$41,0)+IF(F4=Assumptions!$B$43,Assumptions!$B$42,0)</f>
        <v>750</v>
      </c>
      <c r="G49" s="8" t="n">
        <f aca="false">Assumptions!$B$44+IF(G4=1,Assumptions!$B$41,0)+IF(G4=Assumptions!$B$43,Assumptions!$B$42,0)</f>
        <v>750</v>
      </c>
      <c r="H49" s="8" t="n">
        <f aca="false">Assumptions!$B$44+IF(H4=1,Assumptions!$B$41,0)+IF(H4=Assumptions!$B$43,Assumptions!$B$42,0)</f>
        <v>750</v>
      </c>
      <c r="I49" s="8" t="n">
        <f aca="false">Assumptions!$B$44+IF(I4=1,Assumptions!$B$41,0)+IF(I4=Assumptions!$B$43,Assumptions!$B$42,0)</f>
        <v>750</v>
      </c>
      <c r="J49" s="8" t="n">
        <f aca="false">Assumptions!$B$44+IF(J4=1,Assumptions!$B$41,0)+IF(J4=Assumptions!$B$43,Assumptions!$B$42,0)</f>
        <v>750</v>
      </c>
      <c r="K49" s="8" t="n">
        <f aca="false">Assumptions!$B$44+IF(K4=1,Assumptions!$B$41,0)+IF(K4=Assumptions!$B$43,Assumptions!$B$42,0)</f>
        <v>750</v>
      </c>
      <c r="L49" s="8" t="n">
        <f aca="false">Assumptions!$B$44+IF(L4=1,Assumptions!$B$41,0)+IF(L4=Assumptions!$B$43,Assumptions!$B$42,0)</f>
        <v>750</v>
      </c>
      <c r="M49" s="8" t="n">
        <f aca="false">Assumptions!$B$44+IF(M4=1,Assumptions!$B$41,0)+IF(M4=Assumptions!$B$43,Assumptions!$B$42,0)</f>
        <v>750</v>
      </c>
      <c r="N49" s="8" t="n">
        <f aca="false">Assumptions!$B$44+IF(N4=1,Assumptions!$B$41,0)+IF(N4=Assumptions!$B$43,Assumptions!$B$42,0)</f>
        <v>750</v>
      </c>
      <c r="O49" s="8" t="n">
        <f aca="false">Assumptions!$B$44+IF(O4=1,Assumptions!$B$41,0)+IF(O4=Assumptions!$B$43,Assumptions!$B$42,0)</f>
        <v>750</v>
      </c>
      <c r="P49" s="8" t="n">
        <f aca="false">Assumptions!$B$44+IF(P4=1,Assumptions!$B$41,0)+IF(P4=Assumptions!$B$43,Assumptions!$B$42,0)</f>
        <v>750</v>
      </c>
      <c r="Q49" s="8" t="n">
        <f aca="false">Assumptions!$B$44+IF(Q4=1,Assumptions!$B$41,0)+IF(Q4=Assumptions!$B$43,Assumptions!$B$42,0)</f>
        <v>750</v>
      </c>
      <c r="R49" s="8" t="n">
        <f aca="false">Assumptions!$B$44+IF(R4=1,Assumptions!$B$41,0)+IF(R4=Assumptions!$B$43,Assumptions!$B$42,0)</f>
        <v>750</v>
      </c>
      <c r="S49" s="8" t="n">
        <f aca="false">Assumptions!$B$44+IF(S4=1,Assumptions!$B$41,0)+IF(S4=Assumptions!$B$43,Assumptions!$B$42,0)</f>
        <v>750</v>
      </c>
      <c r="T49" s="8" t="n">
        <f aca="false">Assumptions!$B$44+IF(T4=1,Assumptions!$B$41,0)+IF(T4=Assumptions!$B$43,Assumptions!$B$42,0)</f>
        <v>750</v>
      </c>
      <c r="U49" s="8" t="n">
        <f aca="false">Assumptions!$B$44+IF(U4=1,Assumptions!$B$41,0)+IF(U4=Assumptions!$B$43,Assumptions!$B$42,0)</f>
        <v>750</v>
      </c>
      <c r="V49" s="8" t="n">
        <f aca="false">Assumptions!$B$44+IF(V4=1,Assumptions!$B$41,0)+IF(V4=Assumptions!$B$43,Assumptions!$B$42,0)</f>
        <v>750</v>
      </c>
      <c r="W49" s="8" t="n">
        <f aca="false">Assumptions!$B$44+IF(W4=1,Assumptions!$B$41,0)+IF(W4=Assumptions!$B$43,Assumptions!$B$42,0)</f>
        <v>750</v>
      </c>
      <c r="X49" s="8" t="n">
        <f aca="false">Assumptions!$B$44+IF(X4=1,Assumptions!$B$41,0)+IF(X4=Assumptions!$B$43,Assumptions!$B$42,0)</f>
        <v>750</v>
      </c>
      <c r="Y49" s="8" t="n">
        <f aca="false">Assumptions!$B$44+IF(Y4=1,Assumptions!$B$41,0)+IF(Y4=Assumptions!$B$43,Assumptions!$B$42,0)</f>
        <v>750</v>
      </c>
      <c r="Z49" s="8" t="n">
        <f aca="false">Assumptions!$B$44+IF(Z4=1,Assumptions!$B$41,0)+IF(Z4=Assumptions!$B$43,Assumptions!$B$42,0)</f>
        <v>750</v>
      </c>
      <c r="AA49" s="8" t="n">
        <f aca="false">Assumptions!$B$44+IF(AA4=1,Assumptions!$B$41,0)+IF(AA4=Assumptions!$B$43,Assumptions!$B$42,0)</f>
        <v>30750</v>
      </c>
      <c r="AB49" s="8" t="n">
        <f aca="false">Assumptions!$B$44+IF(AB4=1,Assumptions!$B$41,0)+IF(AB4=Assumptions!$B$43,Assumptions!$B$42,0)</f>
        <v>750</v>
      </c>
      <c r="AC49" s="8" t="n">
        <f aca="false">Assumptions!$B$44+IF(AC4=1,Assumptions!$B$41,0)+IF(AC4=Assumptions!$B$43,Assumptions!$B$42,0)</f>
        <v>750</v>
      </c>
      <c r="AD49" s="8" t="n">
        <f aca="false">Assumptions!$B$44+IF(AD4=1,Assumptions!$B$41,0)+IF(AD4=Assumptions!$B$43,Assumptions!$B$42,0)</f>
        <v>750</v>
      </c>
      <c r="AE49" s="8" t="n">
        <f aca="false">Assumptions!$B$44+IF(AE4=1,Assumptions!$B$41,0)+IF(AE4=Assumptions!$B$43,Assumptions!$B$42,0)</f>
        <v>750</v>
      </c>
      <c r="AF49" s="8" t="n">
        <f aca="false">Assumptions!$B$44+IF(AF4=1,Assumptions!$B$41,0)+IF(AF4=Assumptions!$B$43,Assumptions!$B$42,0)</f>
        <v>750</v>
      </c>
      <c r="AG49" s="8" t="n">
        <f aca="false">Assumptions!$B$44+IF(AG4=1,Assumptions!$B$41,0)+IF(AG4=Assumptions!$B$43,Assumptions!$B$42,0)</f>
        <v>750</v>
      </c>
      <c r="AH49" s="8" t="n">
        <f aca="false">Assumptions!$B$44+IF(AH4=1,Assumptions!$B$41,0)+IF(AH4=Assumptions!$B$43,Assumptions!$B$42,0)</f>
        <v>750</v>
      </c>
      <c r="AI49" s="8" t="n">
        <f aca="false">Assumptions!$B$44+IF(AI4=1,Assumptions!$B$41,0)+IF(AI4=Assumptions!$B$43,Assumptions!$B$42,0)</f>
        <v>750</v>
      </c>
      <c r="AJ49" s="8" t="n">
        <f aca="false">Assumptions!$B$44+IF(AJ4=1,Assumptions!$B$41,0)+IF(AJ4=Assumptions!$B$43,Assumptions!$B$42,0)</f>
        <v>750</v>
      </c>
      <c r="AK49" s="8" t="n">
        <f aca="false">Assumptions!$B$44+IF(AK4=1,Assumptions!$B$41,0)+IF(AK4=Assumptions!$B$43,Assumptions!$B$42,0)</f>
        <v>750</v>
      </c>
      <c r="AL49" s="8" t="n">
        <f aca="false">Assumptions!$B$44+IF(AL4=1,Assumptions!$B$41,0)+IF(AL4=Assumptions!$B$43,Assumptions!$B$42,0)</f>
        <v>750</v>
      </c>
      <c r="AM49" s="8" t="n">
        <f aca="false">Assumptions!$B$44+IF(AM4=1,Assumptions!$B$41,0)+IF(AM4=Assumptions!$B$43,Assumptions!$B$42,0)</f>
        <v>750</v>
      </c>
      <c r="AN49" s="8" t="n">
        <f aca="false">Assumptions!$B$44+IF(AN4=1,Assumptions!$B$41,0)+IF(AN4=Assumptions!$B$43,Assumptions!$B$42,0)</f>
        <v>750</v>
      </c>
      <c r="AO49" s="8" t="n">
        <f aca="false">Assumptions!$B$44+IF(AO4=1,Assumptions!$B$41,0)+IF(AO4=Assumptions!$B$43,Assumptions!$B$42,0)</f>
        <v>750</v>
      </c>
      <c r="AP49" s="8" t="n">
        <f aca="false">Assumptions!$B$44+IF(AP4=1,Assumptions!$B$41,0)+IF(AP4=Assumptions!$B$43,Assumptions!$B$42,0)</f>
        <v>750</v>
      </c>
      <c r="AQ49" s="8" t="n">
        <f aca="false">Assumptions!$B$44+IF(AQ4=1,Assumptions!$B$41,0)+IF(AQ4=Assumptions!$B$43,Assumptions!$B$42,0)</f>
        <v>750</v>
      </c>
      <c r="AR49" s="8" t="n">
        <f aca="false">Assumptions!$B$44+IF(AR4=1,Assumptions!$B$41,0)+IF(AR4=Assumptions!$B$43,Assumptions!$B$42,0)</f>
        <v>750</v>
      </c>
      <c r="AS49" s="8" t="n">
        <f aca="false">Assumptions!$B$44+IF(AS4=1,Assumptions!$B$41,0)+IF(AS4=Assumptions!$B$43,Assumptions!$B$42,0)</f>
        <v>750</v>
      </c>
      <c r="AT49" s="8" t="n">
        <f aca="false">Assumptions!$B$44+IF(AT4=1,Assumptions!$B$41,0)+IF(AT4=Assumptions!$B$43,Assumptions!$B$42,0)</f>
        <v>750</v>
      </c>
      <c r="AU49" s="8" t="n">
        <f aca="false">Assumptions!$B$44+IF(AU4=1,Assumptions!$B$41,0)+IF(AU4=Assumptions!$B$43,Assumptions!$B$42,0)</f>
        <v>750</v>
      </c>
      <c r="AV49" s="8" t="n">
        <f aca="false">Assumptions!$B$44+IF(AV4=1,Assumptions!$B$41,0)+IF(AV4=Assumptions!$B$43,Assumptions!$B$42,0)</f>
        <v>750</v>
      </c>
      <c r="AW49" s="8" t="n">
        <f aca="false">Assumptions!$B$44+IF(AW4=1,Assumptions!$B$41,0)+IF(AW4=Assumptions!$B$43,Assumptions!$B$42,0)</f>
        <v>750</v>
      </c>
      <c r="AX49" s="8" t="n">
        <f aca="false">Assumptions!$B$44+IF(AX4=1,Assumptions!$B$41,0)+IF(AX4=Assumptions!$B$43,Assumptions!$B$42,0)</f>
        <v>750</v>
      </c>
      <c r="AY49" s="8" t="n">
        <f aca="false">Assumptions!$B$44+IF(AY4=1,Assumptions!$B$41,0)+IF(AY4=Assumptions!$B$43,Assumptions!$B$42,0)</f>
        <v>750</v>
      </c>
      <c r="AZ49" s="8" t="n">
        <f aca="false">Assumptions!$B$44+IF(AZ4=1,Assumptions!$B$41,0)+IF(AZ4=Assumptions!$B$43,Assumptions!$B$42,0)</f>
        <v>750</v>
      </c>
      <c r="BA49" s="8" t="n">
        <f aca="false">Assumptions!$B$44+IF(BA4=1,Assumptions!$B$41,0)+IF(BA4=Assumptions!$B$43,Assumptions!$B$42,0)</f>
        <v>750</v>
      </c>
      <c r="BB49" s="8" t="n">
        <f aca="false">Assumptions!$B$44+IF(BB4=1,Assumptions!$B$41,0)+IF(BB4=Assumptions!$B$43,Assumptions!$B$42,0)</f>
        <v>750</v>
      </c>
      <c r="BC49" s="8" t="n">
        <f aca="false">Assumptions!$B$44+IF(BC4=1,Assumptions!$B$41,0)+IF(BC4=Assumptions!$B$43,Assumptions!$B$42,0)</f>
        <v>750</v>
      </c>
      <c r="BD49" s="8" t="n">
        <f aca="false">Assumptions!$B$44+IF(BD4=1,Assumptions!$B$41,0)+IF(BD4=Assumptions!$B$43,Assumptions!$B$42,0)</f>
        <v>750</v>
      </c>
      <c r="BE49" s="8" t="n">
        <f aca="false">Assumptions!$B$44+IF(BE4=1,Assumptions!$B$41,0)+IF(BE4=Assumptions!$B$43,Assumptions!$B$42,0)</f>
        <v>750</v>
      </c>
      <c r="BF49" s="8" t="n">
        <f aca="false">Assumptions!$B$44+IF(BF4=1,Assumptions!$B$41,0)+IF(BF4=Assumptions!$B$43,Assumptions!$B$42,0)</f>
        <v>750</v>
      </c>
      <c r="BG49" s="8" t="n">
        <f aca="false">Assumptions!$B$44+IF(BG4=1,Assumptions!$B$41,0)+IF(BG4=Assumptions!$B$43,Assumptions!$B$42,0)</f>
        <v>750</v>
      </c>
      <c r="BH49" s="8" t="n">
        <f aca="false">Assumptions!$B$44+IF(BH4=1,Assumptions!$B$41,0)+IF(BH4=Assumptions!$B$43,Assumptions!$B$42,0)</f>
        <v>750</v>
      </c>
      <c r="BI49" s="8" t="n">
        <f aca="false">Assumptions!$B$44+IF(BI4=1,Assumptions!$B$41,0)+IF(BI4=Assumptions!$B$43,Assumptions!$B$42,0)</f>
        <v>750</v>
      </c>
      <c r="BJ49" s="8" t="n">
        <f aca="false">Assumptions!$B$44+IF(BJ4=1,Assumptions!$B$41,0)+IF(BJ4=Assumptions!$B$43,Assumptions!$B$42,0)</f>
        <v>750</v>
      </c>
    </row>
    <row r="50" customFormat="false" ht="15" hidden="false" customHeight="false" outlineLevel="0" collapsed="false">
      <c r="A50" s="5" t="s">
        <v>136</v>
      </c>
      <c r="C50" s="7" t="n">
        <f aca="false">Assumptions!$B$45</f>
        <v>450</v>
      </c>
      <c r="D50" s="7" t="n">
        <f aca="false">Assumptions!$B$45</f>
        <v>450</v>
      </c>
      <c r="E50" s="7" t="n">
        <f aca="false">Assumptions!$B$45</f>
        <v>450</v>
      </c>
      <c r="F50" s="7" t="n">
        <f aca="false">Assumptions!$B$45</f>
        <v>450</v>
      </c>
      <c r="G50" s="7" t="n">
        <f aca="false">Assumptions!$B$45</f>
        <v>450</v>
      </c>
      <c r="H50" s="7" t="n">
        <f aca="false">Assumptions!$B$45</f>
        <v>450</v>
      </c>
      <c r="I50" s="7" t="n">
        <f aca="false">Assumptions!$B$45</f>
        <v>450</v>
      </c>
      <c r="J50" s="7" t="n">
        <f aca="false">Assumptions!$B$45</f>
        <v>450</v>
      </c>
      <c r="K50" s="7" t="n">
        <f aca="false">Assumptions!$B$45</f>
        <v>450</v>
      </c>
      <c r="L50" s="7" t="n">
        <f aca="false">Assumptions!$B$45</f>
        <v>450</v>
      </c>
      <c r="M50" s="7" t="n">
        <f aca="false">Assumptions!$B$45</f>
        <v>450</v>
      </c>
      <c r="N50" s="7" t="n">
        <f aca="false">Assumptions!$B$45</f>
        <v>450</v>
      </c>
      <c r="O50" s="7" t="n">
        <f aca="false">Assumptions!$B$45</f>
        <v>450</v>
      </c>
      <c r="P50" s="7" t="n">
        <f aca="false">Assumptions!$B$45</f>
        <v>450</v>
      </c>
      <c r="Q50" s="7" t="n">
        <f aca="false">Assumptions!$B$45</f>
        <v>450</v>
      </c>
      <c r="R50" s="7" t="n">
        <f aca="false">Assumptions!$B$45</f>
        <v>450</v>
      </c>
      <c r="S50" s="7" t="n">
        <f aca="false">Assumptions!$B$45</f>
        <v>450</v>
      </c>
      <c r="T50" s="7" t="n">
        <f aca="false">Assumptions!$B$45</f>
        <v>450</v>
      </c>
      <c r="U50" s="7" t="n">
        <f aca="false">Assumptions!$B$45</f>
        <v>450</v>
      </c>
      <c r="V50" s="7" t="n">
        <f aca="false">Assumptions!$B$45</f>
        <v>450</v>
      </c>
      <c r="W50" s="7" t="n">
        <f aca="false">Assumptions!$B$45</f>
        <v>450</v>
      </c>
      <c r="X50" s="7" t="n">
        <f aca="false">Assumptions!$B$45</f>
        <v>450</v>
      </c>
      <c r="Y50" s="7" t="n">
        <f aca="false">Assumptions!$B$45</f>
        <v>450</v>
      </c>
      <c r="Z50" s="7" t="n">
        <f aca="false">Assumptions!$B$45</f>
        <v>450</v>
      </c>
      <c r="AA50" s="7" t="n">
        <f aca="false">Assumptions!$B$45</f>
        <v>450</v>
      </c>
      <c r="AB50" s="7" t="n">
        <f aca="false">Assumptions!$B$45</f>
        <v>450</v>
      </c>
      <c r="AC50" s="7" t="n">
        <f aca="false">Assumptions!$B$45</f>
        <v>450</v>
      </c>
      <c r="AD50" s="7" t="n">
        <f aca="false">Assumptions!$B$45</f>
        <v>450</v>
      </c>
      <c r="AE50" s="7" t="n">
        <f aca="false">Assumptions!$B$45</f>
        <v>450</v>
      </c>
      <c r="AF50" s="7" t="n">
        <f aca="false">Assumptions!$B$45</f>
        <v>450</v>
      </c>
      <c r="AG50" s="7" t="n">
        <f aca="false">Assumptions!$B$45</f>
        <v>450</v>
      </c>
      <c r="AH50" s="7" t="n">
        <f aca="false">Assumptions!$B$45</f>
        <v>450</v>
      </c>
      <c r="AI50" s="7" t="n">
        <f aca="false">Assumptions!$B$45</f>
        <v>450</v>
      </c>
      <c r="AJ50" s="7" t="n">
        <f aca="false">Assumptions!$B$45</f>
        <v>450</v>
      </c>
      <c r="AK50" s="7" t="n">
        <f aca="false">Assumptions!$B$45</f>
        <v>450</v>
      </c>
      <c r="AL50" s="7" t="n">
        <f aca="false">Assumptions!$B$45</f>
        <v>450</v>
      </c>
      <c r="AM50" s="7" t="n">
        <f aca="false">Assumptions!$B$45</f>
        <v>450</v>
      </c>
      <c r="AN50" s="7" t="n">
        <f aca="false">Assumptions!$B$45</f>
        <v>450</v>
      </c>
      <c r="AO50" s="7" t="n">
        <f aca="false">Assumptions!$B$45</f>
        <v>450</v>
      </c>
      <c r="AP50" s="7" t="n">
        <f aca="false">Assumptions!$B$45</f>
        <v>450</v>
      </c>
      <c r="AQ50" s="7" t="n">
        <f aca="false">Assumptions!$B$45</f>
        <v>450</v>
      </c>
      <c r="AR50" s="7" t="n">
        <f aca="false">Assumptions!$B$45</f>
        <v>450</v>
      </c>
      <c r="AS50" s="7" t="n">
        <f aca="false">Assumptions!$B$45</f>
        <v>450</v>
      </c>
      <c r="AT50" s="7" t="n">
        <f aca="false">Assumptions!$B$45</f>
        <v>450</v>
      </c>
      <c r="AU50" s="7" t="n">
        <f aca="false">Assumptions!$B$45</f>
        <v>450</v>
      </c>
      <c r="AV50" s="7" t="n">
        <f aca="false">Assumptions!$B$45</f>
        <v>450</v>
      </c>
      <c r="AW50" s="7" t="n">
        <f aca="false">Assumptions!$B$45</f>
        <v>450</v>
      </c>
      <c r="AX50" s="7" t="n">
        <f aca="false">Assumptions!$B$45</f>
        <v>450</v>
      </c>
      <c r="AY50" s="7" t="n">
        <f aca="false">Assumptions!$B$45</f>
        <v>450</v>
      </c>
      <c r="AZ50" s="7" t="n">
        <f aca="false">Assumptions!$B$45</f>
        <v>450</v>
      </c>
      <c r="BA50" s="7" t="n">
        <f aca="false">Assumptions!$B$45</f>
        <v>450</v>
      </c>
      <c r="BB50" s="7" t="n">
        <f aca="false">Assumptions!$B$45</f>
        <v>450</v>
      </c>
      <c r="BC50" s="7" t="n">
        <f aca="false">Assumptions!$B$45</f>
        <v>450</v>
      </c>
      <c r="BD50" s="7" t="n">
        <f aca="false">Assumptions!$B$45</f>
        <v>450</v>
      </c>
      <c r="BE50" s="7" t="n">
        <f aca="false">Assumptions!$B$45</f>
        <v>450</v>
      </c>
      <c r="BF50" s="7" t="n">
        <f aca="false">Assumptions!$B$45</f>
        <v>450</v>
      </c>
      <c r="BG50" s="7" t="n">
        <f aca="false">Assumptions!$B$45</f>
        <v>450</v>
      </c>
      <c r="BH50" s="7" t="n">
        <f aca="false">Assumptions!$B$45</f>
        <v>450</v>
      </c>
      <c r="BI50" s="7" t="n">
        <f aca="false">Assumptions!$B$45</f>
        <v>450</v>
      </c>
      <c r="BJ50" s="7" t="n">
        <f aca="false">Assumptions!$B$45</f>
        <v>450</v>
      </c>
    </row>
    <row r="51" customFormat="false" ht="15" hidden="false" customHeight="false" outlineLevel="0" collapsed="false">
      <c r="A51" s="5" t="s">
        <v>137</v>
      </c>
      <c r="C51" s="7" t="n">
        <f aca="false">Assumptions!$B$46</f>
        <v>600</v>
      </c>
      <c r="D51" s="7" t="n">
        <f aca="false">Assumptions!$B$46</f>
        <v>600</v>
      </c>
      <c r="E51" s="7" t="n">
        <f aca="false">Assumptions!$B$46</f>
        <v>600</v>
      </c>
      <c r="F51" s="7" t="n">
        <f aca="false">Assumptions!$B$46</f>
        <v>600</v>
      </c>
      <c r="G51" s="7" t="n">
        <f aca="false">Assumptions!$B$46</f>
        <v>600</v>
      </c>
      <c r="H51" s="7" t="n">
        <f aca="false">Assumptions!$B$46</f>
        <v>600</v>
      </c>
      <c r="I51" s="7" t="n">
        <f aca="false">Assumptions!$B$46</f>
        <v>600</v>
      </c>
      <c r="J51" s="7" t="n">
        <f aca="false">Assumptions!$B$46</f>
        <v>600</v>
      </c>
      <c r="K51" s="7" t="n">
        <f aca="false">Assumptions!$B$46</f>
        <v>600</v>
      </c>
      <c r="L51" s="7" t="n">
        <f aca="false">Assumptions!$B$46</f>
        <v>600</v>
      </c>
      <c r="M51" s="7" t="n">
        <f aca="false">Assumptions!$B$46</f>
        <v>600</v>
      </c>
      <c r="N51" s="7" t="n">
        <f aca="false">Assumptions!$B$46</f>
        <v>600</v>
      </c>
      <c r="O51" s="7" t="n">
        <f aca="false">Assumptions!$B$46</f>
        <v>600</v>
      </c>
      <c r="P51" s="7" t="n">
        <f aca="false">Assumptions!$B$46</f>
        <v>600</v>
      </c>
      <c r="Q51" s="7" t="n">
        <f aca="false">Assumptions!$B$46</f>
        <v>600</v>
      </c>
      <c r="R51" s="7" t="n">
        <f aca="false">Assumptions!$B$46</f>
        <v>600</v>
      </c>
      <c r="S51" s="7" t="n">
        <f aca="false">Assumptions!$B$46</f>
        <v>600</v>
      </c>
      <c r="T51" s="7" t="n">
        <f aca="false">Assumptions!$B$46</f>
        <v>600</v>
      </c>
      <c r="U51" s="7" t="n">
        <f aca="false">Assumptions!$B$46</f>
        <v>600</v>
      </c>
      <c r="V51" s="7" t="n">
        <f aca="false">Assumptions!$B$46</f>
        <v>600</v>
      </c>
      <c r="W51" s="7" t="n">
        <f aca="false">Assumptions!$B$46</f>
        <v>600</v>
      </c>
      <c r="X51" s="7" t="n">
        <f aca="false">Assumptions!$B$46</f>
        <v>600</v>
      </c>
      <c r="Y51" s="7" t="n">
        <f aca="false">Assumptions!$B$46</f>
        <v>600</v>
      </c>
      <c r="Z51" s="7" t="n">
        <f aca="false">Assumptions!$B$46</f>
        <v>600</v>
      </c>
      <c r="AA51" s="7" t="n">
        <f aca="false">Assumptions!$B$46</f>
        <v>600</v>
      </c>
      <c r="AB51" s="7" t="n">
        <f aca="false">Assumptions!$B$46</f>
        <v>600</v>
      </c>
      <c r="AC51" s="7" t="n">
        <f aca="false">Assumptions!$B$46</f>
        <v>600</v>
      </c>
      <c r="AD51" s="7" t="n">
        <f aca="false">Assumptions!$B$46</f>
        <v>600</v>
      </c>
      <c r="AE51" s="7" t="n">
        <f aca="false">Assumptions!$B$46</f>
        <v>600</v>
      </c>
      <c r="AF51" s="7" t="n">
        <f aca="false">Assumptions!$B$46</f>
        <v>600</v>
      </c>
      <c r="AG51" s="7" t="n">
        <f aca="false">Assumptions!$B$46</f>
        <v>600</v>
      </c>
      <c r="AH51" s="7" t="n">
        <f aca="false">Assumptions!$B$46</f>
        <v>600</v>
      </c>
      <c r="AI51" s="7" t="n">
        <f aca="false">Assumptions!$B$46</f>
        <v>600</v>
      </c>
      <c r="AJ51" s="7" t="n">
        <f aca="false">Assumptions!$B$46</f>
        <v>600</v>
      </c>
      <c r="AK51" s="7" t="n">
        <f aca="false">Assumptions!$B$46</f>
        <v>600</v>
      </c>
      <c r="AL51" s="7" t="n">
        <f aca="false">Assumptions!$B$46</f>
        <v>600</v>
      </c>
      <c r="AM51" s="7" t="n">
        <f aca="false">Assumptions!$B$46</f>
        <v>600</v>
      </c>
      <c r="AN51" s="7" t="n">
        <f aca="false">Assumptions!$B$46</f>
        <v>600</v>
      </c>
      <c r="AO51" s="7" t="n">
        <f aca="false">Assumptions!$B$46</f>
        <v>600</v>
      </c>
      <c r="AP51" s="7" t="n">
        <f aca="false">Assumptions!$B$46</f>
        <v>600</v>
      </c>
      <c r="AQ51" s="7" t="n">
        <f aca="false">Assumptions!$B$46</f>
        <v>600</v>
      </c>
      <c r="AR51" s="7" t="n">
        <f aca="false">Assumptions!$B$46</f>
        <v>600</v>
      </c>
      <c r="AS51" s="7" t="n">
        <f aca="false">Assumptions!$B$46</f>
        <v>600</v>
      </c>
      <c r="AT51" s="7" t="n">
        <f aca="false">Assumptions!$B$46</f>
        <v>600</v>
      </c>
      <c r="AU51" s="7" t="n">
        <f aca="false">Assumptions!$B$46</f>
        <v>600</v>
      </c>
      <c r="AV51" s="7" t="n">
        <f aca="false">Assumptions!$B$46</f>
        <v>600</v>
      </c>
      <c r="AW51" s="7" t="n">
        <f aca="false">Assumptions!$B$46</f>
        <v>600</v>
      </c>
      <c r="AX51" s="7" t="n">
        <f aca="false">Assumptions!$B$46</f>
        <v>600</v>
      </c>
      <c r="AY51" s="7" t="n">
        <f aca="false">Assumptions!$B$46</f>
        <v>600</v>
      </c>
      <c r="AZ51" s="7" t="n">
        <f aca="false">Assumptions!$B$46</f>
        <v>600</v>
      </c>
      <c r="BA51" s="7" t="n">
        <f aca="false">Assumptions!$B$46</f>
        <v>600</v>
      </c>
      <c r="BB51" s="7" t="n">
        <f aca="false">Assumptions!$B$46</f>
        <v>600</v>
      </c>
      <c r="BC51" s="7" t="n">
        <f aca="false">Assumptions!$B$46</f>
        <v>600</v>
      </c>
      <c r="BD51" s="7" t="n">
        <f aca="false">Assumptions!$B$46</f>
        <v>600</v>
      </c>
      <c r="BE51" s="7" t="n">
        <f aca="false">Assumptions!$B$46</f>
        <v>600</v>
      </c>
      <c r="BF51" s="7" t="n">
        <f aca="false">Assumptions!$B$46</f>
        <v>600</v>
      </c>
      <c r="BG51" s="7" t="n">
        <f aca="false">Assumptions!$B$46</f>
        <v>600</v>
      </c>
      <c r="BH51" s="7" t="n">
        <f aca="false">Assumptions!$B$46</f>
        <v>600</v>
      </c>
      <c r="BI51" s="7" t="n">
        <f aca="false">Assumptions!$B$46</f>
        <v>600</v>
      </c>
      <c r="BJ51" s="7" t="n">
        <f aca="false">Assumptions!$B$46</f>
        <v>600</v>
      </c>
    </row>
    <row r="52" customFormat="false" ht="15" hidden="false" customHeight="false" outlineLevel="0" collapsed="false">
      <c r="A52" s="10" t="s">
        <v>138</v>
      </c>
      <c r="C52" s="11" t="n">
        <f aca="false">SUM(C46:C51)</f>
        <v>26771.5790666667</v>
      </c>
      <c r="D52" s="11" t="n">
        <f aca="false">SUM(D46:D51)</f>
        <v>7326.49146666667</v>
      </c>
      <c r="E52" s="11" t="n">
        <f aca="false">SUM(E46:E51)</f>
        <v>7881.40386666667</v>
      </c>
      <c r="F52" s="11" t="n">
        <f aca="false">SUM(F46:F51)</f>
        <v>8436.31626666667</v>
      </c>
      <c r="G52" s="11" t="n">
        <f aca="false">SUM(G46:G51)</f>
        <v>8991.22866666667</v>
      </c>
      <c r="H52" s="11" t="n">
        <f aca="false">SUM(H46:H51)</f>
        <v>9546.14106666667</v>
      </c>
      <c r="I52" s="11" t="n">
        <f aca="false">SUM(I46:I51)</f>
        <v>10285.8534666667</v>
      </c>
      <c r="J52" s="11" t="n">
        <f aca="false">SUM(J46:J51)</f>
        <v>11025.5658666667</v>
      </c>
      <c r="K52" s="11" t="n">
        <f aca="false">SUM(K46:K51)</f>
        <v>11765.2782666667</v>
      </c>
      <c r="L52" s="11" t="n">
        <f aca="false">SUM(L46:L51)</f>
        <v>12504.9906666667</v>
      </c>
      <c r="M52" s="11" t="n">
        <f aca="false">SUM(M46:M51)</f>
        <v>13244.7030666667</v>
      </c>
      <c r="N52" s="11" t="n">
        <f aca="false">SUM(N46:N51)</f>
        <v>13984.4154666667</v>
      </c>
      <c r="O52" s="11" t="n">
        <f aca="false">SUM(O46:O51)</f>
        <v>17640.7945333333</v>
      </c>
      <c r="P52" s="11" t="n">
        <f aca="false">SUM(P46:P51)</f>
        <v>18380.5069333333</v>
      </c>
      <c r="Q52" s="11" t="n">
        <f aca="false">SUM(Q46:Q51)</f>
        <v>19120.2193333333</v>
      </c>
      <c r="R52" s="11" t="n">
        <f aca="false">SUM(R46:R51)</f>
        <v>19305.0193333333</v>
      </c>
      <c r="S52" s="11" t="n">
        <f aca="false">SUM(S46:S51)</f>
        <v>19489.8193333333</v>
      </c>
      <c r="T52" s="11" t="n">
        <f aca="false">SUM(T46:T51)</f>
        <v>19674.6193333333</v>
      </c>
      <c r="U52" s="11" t="n">
        <f aca="false">SUM(U46:U51)</f>
        <v>19929.0749333333</v>
      </c>
      <c r="V52" s="11" t="n">
        <f aca="false">SUM(V46:V51)</f>
        <v>20183.5305333333</v>
      </c>
      <c r="W52" s="11" t="n">
        <f aca="false">SUM(W46:W51)</f>
        <v>20437.9861333333</v>
      </c>
      <c r="X52" s="11" t="n">
        <f aca="false">SUM(X46:X51)</f>
        <v>20507.6417333333</v>
      </c>
      <c r="Y52" s="11" t="n">
        <f aca="false">SUM(Y46:Y51)</f>
        <v>20577.2973333333</v>
      </c>
      <c r="Z52" s="11" t="n">
        <f aca="false">SUM(Z46:Z51)</f>
        <v>20646.9529333333</v>
      </c>
      <c r="AA52" s="11" t="n">
        <f aca="false">SUM(AA46:AA51)</f>
        <v>61549.9418666667</v>
      </c>
      <c r="AB52" s="11" t="n">
        <f aca="false">SUM(AB46:AB51)</f>
        <v>31619.5974666667</v>
      </c>
      <c r="AC52" s="11" t="n">
        <f aca="false">SUM(AC46:AC51)</f>
        <v>31689.2530666667</v>
      </c>
      <c r="AD52" s="11" t="n">
        <f aca="false">SUM(AD46:AD51)</f>
        <v>31758.9086666667</v>
      </c>
      <c r="AE52" s="11" t="n">
        <f aca="false">SUM(AE46:AE51)</f>
        <v>31828.5642666667</v>
      </c>
      <c r="AF52" s="11" t="n">
        <f aca="false">SUM(AF46:AF51)</f>
        <v>31898.2198666667</v>
      </c>
      <c r="AG52" s="11" t="n">
        <f aca="false">SUM(AG46:AG51)</f>
        <v>31967.8754666667</v>
      </c>
      <c r="AH52" s="11" t="n">
        <f aca="false">SUM(AH46:AH51)</f>
        <v>32037.5310666667</v>
      </c>
      <c r="AI52" s="11" t="n">
        <f aca="false">SUM(AI46:AI51)</f>
        <v>32107.1866666667</v>
      </c>
      <c r="AJ52" s="11" t="n">
        <f aca="false">SUM(AJ46:AJ51)</f>
        <v>32107.1866666667</v>
      </c>
      <c r="AK52" s="11" t="n">
        <f aca="false">SUM(AK46:AK51)</f>
        <v>32107.1866666667</v>
      </c>
      <c r="AL52" s="11" t="n">
        <f aca="false">SUM(AL46:AL51)</f>
        <v>32107.1866666667</v>
      </c>
      <c r="AM52" s="11" t="n">
        <f aca="false">SUM(AM46:AM51)</f>
        <v>40440.52</v>
      </c>
      <c r="AN52" s="11" t="n">
        <f aca="false">SUM(AN46:AN51)</f>
        <v>40440.52</v>
      </c>
      <c r="AO52" s="11" t="n">
        <f aca="false">SUM(AO46:AO51)</f>
        <v>40440.52</v>
      </c>
      <c r="AP52" s="11" t="n">
        <f aca="false">SUM(AP46:AP51)</f>
        <v>40440.52</v>
      </c>
      <c r="AQ52" s="11" t="n">
        <f aca="false">SUM(AQ46:AQ51)</f>
        <v>40440.52</v>
      </c>
      <c r="AR52" s="11" t="n">
        <f aca="false">SUM(AR46:AR51)</f>
        <v>40440.52</v>
      </c>
      <c r="AS52" s="11" t="n">
        <f aca="false">SUM(AS46:AS51)</f>
        <v>40440.52</v>
      </c>
      <c r="AT52" s="11" t="n">
        <f aca="false">SUM(AT46:AT51)</f>
        <v>40440.52</v>
      </c>
      <c r="AU52" s="11" t="n">
        <f aca="false">SUM(AU46:AU51)</f>
        <v>40440.52</v>
      </c>
      <c r="AV52" s="11" t="n">
        <f aca="false">SUM(AV46:AV51)</f>
        <v>40440.52</v>
      </c>
      <c r="AW52" s="11" t="n">
        <f aca="false">SUM(AW46:AW51)</f>
        <v>40440.52</v>
      </c>
      <c r="AX52" s="11" t="n">
        <f aca="false">SUM(AX46:AX51)</f>
        <v>40440.52</v>
      </c>
      <c r="AY52" s="11" t="n">
        <f aca="false">SUM(AY46:AY51)</f>
        <v>48773.8533333333</v>
      </c>
      <c r="AZ52" s="11" t="n">
        <f aca="false">SUM(AZ46:AZ51)</f>
        <v>48773.8533333333</v>
      </c>
      <c r="BA52" s="11" t="n">
        <f aca="false">SUM(BA46:BA51)</f>
        <v>48773.8533333333</v>
      </c>
      <c r="BB52" s="11" t="n">
        <f aca="false">SUM(BB46:BB51)</f>
        <v>48773.8533333333</v>
      </c>
      <c r="BC52" s="11" t="n">
        <f aca="false">SUM(BC46:BC51)</f>
        <v>48773.8533333333</v>
      </c>
      <c r="BD52" s="11" t="n">
        <f aca="false">SUM(BD46:BD51)</f>
        <v>48773.8533333333</v>
      </c>
      <c r="BE52" s="11" t="n">
        <f aca="false">SUM(BE46:BE51)</f>
        <v>48773.8533333333</v>
      </c>
      <c r="BF52" s="11" t="n">
        <f aca="false">SUM(BF46:BF51)</f>
        <v>48773.8533333333</v>
      </c>
      <c r="BG52" s="11" t="n">
        <f aca="false">SUM(BG46:BG51)</f>
        <v>48773.8533333333</v>
      </c>
      <c r="BH52" s="11" t="n">
        <f aca="false">SUM(BH46:BH51)</f>
        <v>48773.8533333333</v>
      </c>
      <c r="BI52" s="11" t="n">
        <f aca="false">SUM(BI46:BI51)</f>
        <v>48773.8533333333</v>
      </c>
      <c r="BJ52" s="11" t="n">
        <f aca="false">SUM(BJ46:BJ51)</f>
        <v>48773.8533333333</v>
      </c>
    </row>
    <row r="54" customFormat="false" ht="15" hidden="false" customHeight="false" outlineLevel="0" collapsed="false">
      <c r="A54" s="10" t="s">
        <v>139</v>
      </c>
      <c r="C54" s="11" t="n">
        <f aca="false">C42-C52</f>
        <v>-26987.0020434241</v>
      </c>
      <c r="D54" s="11" t="n">
        <f aca="false">D42-D52</f>
        <v>-7473.97059275256</v>
      </c>
      <c r="E54" s="11" t="n">
        <f aca="false">E42-E52</f>
        <v>-7928.74015361195</v>
      </c>
      <c r="F54" s="11" t="n">
        <f aca="false">F42-F52</f>
        <v>-8352.43769059873</v>
      </c>
      <c r="G54" s="11" t="n">
        <f aca="false">G42-G52</f>
        <v>-8746.15072454844</v>
      </c>
      <c r="H54" s="11" t="n">
        <f aca="false">H42-H52</f>
        <v>-9110.92871306738</v>
      </c>
      <c r="I54" s="11" t="n">
        <f aca="false">I42-I52</f>
        <v>-9619.28607067229</v>
      </c>
      <c r="J54" s="11" t="n">
        <f aca="false">J42-J52</f>
        <v>-10087.8655194452</v>
      </c>
      <c r="K54" s="11" t="n">
        <f aca="false">K42-K52</f>
        <v>-10518.0592861951</v>
      </c>
      <c r="L54" s="11" t="n">
        <f aca="false">L42-L52</f>
        <v>-10911.2108697929</v>
      </c>
      <c r="M54" s="11" t="n">
        <f aca="false">M42-M52</f>
        <v>-11268.616746649</v>
      </c>
      <c r="N54" s="11" t="n">
        <f aca="false">N42-N52</f>
        <v>-11591.5280164992</v>
      </c>
      <c r="O54" s="11" t="n">
        <f aca="false">O42-O52</f>
        <v>-14797.8186572555</v>
      </c>
      <c r="P54" s="11" t="n">
        <f aca="false">P42-P52</f>
        <v>-15055.3203909361</v>
      </c>
      <c r="Q54" s="11" t="n">
        <f aca="false">Q42-Q52</f>
        <v>-15281.824162622</v>
      </c>
      <c r="R54" s="11" t="n">
        <f aca="false">R42-R52</f>
        <v>-14958.0795242255</v>
      </c>
      <c r="S54" s="11" t="n">
        <f aca="false">S42-S52</f>
        <v>-14638.8356360996</v>
      </c>
      <c r="T54" s="11" t="n">
        <f aca="false">T42-T52</f>
        <v>-14323.9349719848</v>
      </c>
      <c r="U54" s="11" t="n">
        <f aca="false">U42-U52</f>
        <v>-14076.2276873322</v>
      </c>
      <c r="V54" s="11" t="n">
        <f aca="false">V42-V52</f>
        <v>-13826.1443598606</v>
      </c>
      <c r="W54" s="11" t="n">
        <f aca="false">W42-W52</f>
        <v>-13573.7681510686</v>
      </c>
      <c r="X54" s="11" t="n">
        <f aca="false">X42-X52</f>
        <v>-13147.6776238759</v>
      </c>
      <c r="Y54" s="11" t="n">
        <f aca="false">Y42-Y52</f>
        <v>-12732.2847794264</v>
      </c>
      <c r="Z54" s="11" t="n">
        <f aca="false">Z42-Z52</f>
        <v>-12327.2151988242</v>
      </c>
      <c r="AA54" s="11" t="n">
        <f aca="false">AA42-AA52</f>
        <v>-52765.4409011679</v>
      </c>
      <c r="AB54" s="11" t="n">
        <f aca="false">AB42-AB52</f>
        <v>-22379.9465515543</v>
      </c>
      <c r="AC54" s="11" t="n">
        <f aca="false">AC42-AC52</f>
        <v>-22003.7290184688</v>
      </c>
      <c r="AD54" s="11" t="n">
        <f aca="false">AD42-AD52</f>
        <v>-21636.4636133327</v>
      </c>
      <c r="AE54" s="11" t="n">
        <f aca="false">AE42-AE52</f>
        <v>-21277.8370116679</v>
      </c>
      <c r="AF54" s="11" t="n">
        <f aca="false">AF42-AF52</f>
        <v>-20927.5468553529</v>
      </c>
      <c r="AG54" s="11" t="n">
        <f aca="false">AG42-AG52</f>
        <v>-20585.3013688004</v>
      </c>
      <c r="AH54" s="11" t="n">
        <f aca="false">AH42-AH52</f>
        <v>-20250.8189885688</v>
      </c>
      <c r="AI54" s="11" t="n">
        <f aca="false">AI42-AI52</f>
        <v>-19923.8280059367</v>
      </c>
      <c r="AJ54" s="11" t="n">
        <f aca="false">AJ42-AJ52</f>
        <v>-19541.0640536968</v>
      </c>
      <c r="AK54" s="11" t="n">
        <f aca="false">AK42-AK52</f>
        <v>-19171.6968397853</v>
      </c>
      <c r="AL54" s="11" t="n">
        <f aca="false">AL42-AL52</f>
        <v>-18815.2574783607</v>
      </c>
      <c r="AM54" s="11" t="n">
        <f aca="false">AM42-AM52</f>
        <v>-26804.6268279193</v>
      </c>
      <c r="AN54" s="11" t="n">
        <f aca="false">AN42-AN52</f>
        <v>-26472.7015835766</v>
      </c>
      <c r="AO54" s="11" t="n">
        <f aca="false">AO42-AO52</f>
        <v>-26152.393722786</v>
      </c>
      <c r="AP54" s="11" t="n">
        <f aca="false">AP42-AP52</f>
        <v>-25843.296637123</v>
      </c>
      <c r="AQ54" s="11" t="n">
        <f aca="false">AQ42-AQ52</f>
        <v>-25545.0179494582</v>
      </c>
      <c r="AR54" s="11" t="n">
        <f aca="false">AR42-AR52</f>
        <v>-25257.1790158617</v>
      </c>
      <c r="AS54" s="11" t="n">
        <f aca="false">AS42-AS52</f>
        <v>-24979.4144449411</v>
      </c>
      <c r="AT54" s="11" t="n">
        <f aca="false">AT42-AT52</f>
        <v>-24711.3716340027</v>
      </c>
      <c r="AU54" s="11" t="n">
        <f aca="false">AU42-AU52</f>
        <v>-24452.7103214471</v>
      </c>
      <c r="AV54" s="11" t="n">
        <f aca="false">AV42-AV52</f>
        <v>-24203.102154831</v>
      </c>
      <c r="AW54" s="11" t="n">
        <f aca="false">AW42-AW52</f>
        <v>-23962.2302740465</v>
      </c>
      <c r="AX54" s="11" t="n">
        <f aca="false">AX42-AX52</f>
        <v>-23729.7889090894</v>
      </c>
      <c r="AY54" s="11" t="n">
        <f aca="false">AY42-AY52</f>
        <v>-31838.8163252391</v>
      </c>
      <c r="AZ54" s="11" t="n">
        <f aca="false">AZ42-AZ52</f>
        <v>-31622.3611151569</v>
      </c>
      <c r="BA54" s="11" t="n">
        <f aca="false">BA42-BA52</f>
        <v>-31413.4818374276</v>
      </c>
      <c r="BB54" s="11" t="n">
        <f aca="false">BB42-BB52</f>
        <v>-31211.9133344189</v>
      </c>
      <c r="BC54" s="11" t="n">
        <f aca="false">BC42-BC52</f>
        <v>-31017.3997290154</v>
      </c>
      <c r="BD54" s="11" t="n">
        <f aca="false">BD42-BD52</f>
        <v>-30829.6940998011</v>
      </c>
      <c r="BE54" s="11" t="n">
        <f aca="false">BE42-BE52</f>
        <v>-30648.5581676092</v>
      </c>
      <c r="BF54" s="11" t="n">
        <f aca="false">BF42-BF52</f>
        <v>-30473.7619930441</v>
      </c>
      <c r="BG54" s="11" t="n">
        <f aca="false">BG42-BG52</f>
        <v>-30305.0836845888</v>
      </c>
      <c r="BH54" s="11" t="n">
        <f aca="false">BH42-BH52</f>
        <v>-30142.3091169294</v>
      </c>
      <c r="BI54" s="11" t="n">
        <f aca="false">BI42-BI52</f>
        <v>-29985.231659138</v>
      </c>
      <c r="BJ54" s="11" t="n">
        <f aca="false">BJ42-BJ52</f>
        <v>-29833.6519123694</v>
      </c>
    </row>
    <row r="55" customFormat="false" ht="15" hidden="false" customHeight="false" outlineLevel="0" collapsed="false">
      <c r="A55" s="10" t="s">
        <v>140</v>
      </c>
      <c r="C55" s="11" t="n">
        <f aca="false">Assumptions!$B$47+C54</f>
        <v>23012.9979565759</v>
      </c>
      <c r="D55" s="11" t="n">
        <f aca="false">C55+D54</f>
        <v>15539.0273638233</v>
      </c>
      <c r="E55" s="11" t="n">
        <f aca="false">D55+E54</f>
        <v>7610.28721021137</v>
      </c>
      <c r="F55" s="11" t="n">
        <f aca="false">E55+F54</f>
        <v>-742.150480387365</v>
      </c>
      <c r="G55" s="11" t="n">
        <f aca="false">F55+G54</f>
        <v>-9488.30120493581</v>
      </c>
      <c r="H55" s="11" t="n">
        <f aca="false">G55+H54</f>
        <v>-18599.2299180032</v>
      </c>
      <c r="I55" s="11" t="n">
        <f aca="false">H55+I54</f>
        <v>-28218.5159886755</v>
      </c>
      <c r="J55" s="11" t="n">
        <f aca="false">I55+J54</f>
        <v>-38306.3815081206</v>
      </c>
      <c r="K55" s="11" t="n">
        <f aca="false">J55+K54</f>
        <v>-48824.4407943157</v>
      </c>
      <c r="L55" s="11" t="n">
        <f aca="false">K55+L54</f>
        <v>-59735.6516641087</v>
      </c>
      <c r="M55" s="11" t="n">
        <f aca="false">L55+M54</f>
        <v>-71004.2684107577</v>
      </c>
      <c r="N55" s="11" t="n">
        <f aca="false">M55+N54</f>
        <v>-82595.7964272569</v>
      </c>
      <c r="O55" s="11" t="n">
        <f aca="false">N55+O54</f>
        <v>-97393.6150845124</v>
      </c>
      <c r="P55" s="11" t="n">
        <f aca="false">O55+P54</f>
        <v>-112448.935475448</v>
      </c>
      <c r="Q55" s="11" t="n">
        <f aca="false">P55+Q54</f>
        <v>-127730.75963807</v>
      </c>
      <c r="R55" s="11" t="n">
        <f aca="false">Q55+R54</f>
        <v>-142688.839162296</v>
      </c>
      <c r="S55" s="11" t="n">
        <f aca="false">R55+S54</f>
        <v>-157327.674798396</v>
      </c>
      <c r="T55" s="11" t="n">
        <f aca="false">S55+T54</f>
        <v>-171651.60977038</v>
      </c>
      <c r="U55" s="11" t="n">
        <f aca="false">T55+U54</f>
        <v>-185727.837457713</v>
      </c>
      <c r="V55" s="11" t="n">
        <f aca="false">U55+V54</f>
        <v>-199553.981817573</v>
      </c>
      <c r="W55" s="11" t="n">
        <f aca="false">V55+W54</f>
        <v>-213127.749968642</v>
      </c>
      <c r="X55" s="11" t="n">
        <f aca="false">W55+X54</f>
        <v>-226275.427592518</v>
      </c>
      <c r="Y55" s="11" t="n">
        <f aca="false">X55+Y54</f>
        <v>-239007.712371944</v>
      </c>
      <c r="Z55" s="11" t="n">
        <f aca="false">Y55+Z54</f>
        <v>-251334.927570768</v>
      </c>
      <c r="AA55" s="11" t="n">
        <f aca="false">Z55+AA54</f>
        <v>-304100.368471936</v>
      </c>
      <c r="AB55" s="11" t="n">
        <f aca="false">AA55+AB54</f>
        <v>-326480.31502349</v>
      </c>
      <c r="AC55" s="11" t="n">
        <f aca="false">AB55+AC54</f>
        <v>-348484.044041959</v>
      </c>
      <c r="AD55" s="11" t="n">
        <f aca="false">AC55+AD54</f>
        <v>-370120.507655292</v>
      </c>
      <c r="AE55" s="11" t="n">
        <f aca="false">AD55+AE54</f>
        <v>-391398.34466696</v>
      </c>
      <c r="AF55" s="11" t="n">
        <f aca="false">AE55+AF54</f>
        <v>-412325.891522313</v>
      </c>
      <c r="AG55" s="11" t="n">
        <f aca="false">AF55+AG54</f>
        <v>-432911.192891113</v>
      </c>
      <c r="AH55" s="11" t="n">
        <f aca="false">AG55+AH54</f>
        <v>-453162.011879682</v>
      </c>
      <c r="AI55" s="11" t="n">
        <f aca="false">AH55+AI54</f>
        <v>-473085.839885619</v>
      </c>
      <c r="AJ55" s="11" t="n">
        <f aca="false">AI55+AJ54</f>
        <v>-492626.903939316</v>
      </c>
      <c r="AK55" s="11" t="n">
        <f aca="false">AJ55+AK54</f>
        <v>-511798.600779101</v>
      </c>
      <c r="AL55" s="11" t="n">
        <f aca="false">AK55+AL54</f>
        <v>-530613.858257462</v>
      </c>
      <c r="AM55" s="11" t="n">
        <f aca="false">AL55+AM54</f>
        <v>-557418.485085381</v>
      </c>
      <c r="AN55" s="11" t="n">
        <f aca="false">AM55+AN54</f>
        <v>-583891.186668958</v>
      </c>
      <c r="AO55" s="11" t="n">
        <f aca="false">AN55+AO54</f>
        <v>-610043.580391744</v>
      </c>
      <c r="AP55" s="11" t="n">
        <f aca="false">AO55+AP54</f>
        <v>-635886.877028866</v>
      </c>
      <c r="AQ55" s="11" t="n">
        <f aca="false">AP55+AQ54</f>
        <v>-661431.894978325</v>
      </c>
      <c r="AR55" s="11" t="n">
        <f aca="false">AQ55+AR54</f>
        <v>-686689.073994186</v>
      </c>
      <c r="AS55" s="11" t="n">
        <f aca="false">AR55+AS54</f>
        <v>-711668.488439128</v>
      </c>
      <c r="AT55" s="11" t="n">
        <f aca="false">AS55+AT54</f>
        <v>-736379.86007313</v>
      </c>
      <c r="AU55" s="11" t="n">
        <f aca="false">AT55+AU54</f>
        <v>-760832.570394577</v>
      </c>
      <c r="AV55" s="11" t="n">
        <f aca="false">AU55+AV54</f>
        <v>-785035.672549408</v>
      </c>
      <c r="AW55" s="11" t="n">
        <f aca="false">AV55+AW54</f>
        <v>-808997.902823455</v>
      </c>
      <c r="AX55" s="11" t="n">
        <f aca="false">AW55+AX54</f>
        <v>-832727.691732544</v>
      </c>
      <c r="AY55" s="11" t="n">
        <f aca="false">AX55+AY54</f>
        <v>-864566.508057783</v>
      </c>
      <c r="AZ55" s="11" t="n">
        <f aca="false">AY55+AZ54</f>
        <v>-896188.86917294</v>
      </c>
      <c r="BA55" s="11" t="n">
        <f aca="false">AZ55+BA54</f>
        <v>-927602.351010368</v>
      </c>
      <c r="BB55" s="11" t="n">
        <f aca="false">BA55+BB54</f>
        <v>-958814.264344787</v>
      </c>
      <c r="BC55" s="11" t="n">
        <f aca="false">BB55+BC54</f>
        <v>-989831.664073802</v>
      </c>
      <c r="BD55" s="11" t="n">
        <f aca="false">BC55+BD54</f>
        <v>-1020661.3581736</v>
      </c>
      <c r="BE55" s="11" t="n">
        <f aca="false">BD55+BE54</f>
        <v>-1051309.91634121</v>
      </c>
      <c r="BF55" s="11" t="n">
        <f aca="false">BE55+BF54</f>
        <v>-1081783.67833426</v>
      </c>
      <c r="BG55" s="11" t="n">
        <f aca="false">BF55+BG54</f>
        <v>-1112088.76201885</v>
      </c>
      <c r="BH55" s="11" t="n">
        <f aca="false">BG55+BH54</f>
        <v>-1142231.07113577</v>
      </c>
      <c r="BI55" s="11" t="n">
        <f aca="false">BH55+BI54</f>
        <v>-1172216.30279491</v>
      </c>
      <c r="BJ55" s="11" t="n">
        <f aca="false">BI55+BJ54</f>
        <v>-1202049.95470728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
    <col collapsed="false" customWidth="true" hidden="false" outlineLevel="0" max="62" min="3" style="0" width="11"/>
  </cols>
  <sheetData>
    <row r="1" customFormat="false" ht="17.35" hidden="false" customHeight="false" outlineLevel="0" collapsed="false">
      <c r="A1" s="1" t="s">
        <v>141</v>
      </c>
    </row>
    <row r="2" customFormat="false" ht="15" hidden="false" customHeight="false" outlineLevel="0" collapsed="false">
      <c r="A2" s="2" t="s">
        <v>113</v>
      </c>
    </row>
    <row r="4" customFormat="false" ht="15" hidden="false" customHeight="false" outlineLevel="0" collapsed="false">
      <c r="A4" s="10" t="s">
        <v>114</v>
      </c>
      <c r="C4" s="21" t="n">
        <v>1</v>
      </c>
      <c r="D4" s="21" t="n">
        <v>2</v>
      </c>
      <c r="E4" s="21" t="n">
        <v>3</v>
      </c>
      <c r="F4" s="21" t="n">
        <v>4</v>
      </c>
      <c r="G4" s="21" t="n">
        <v>5</v>
      </c>
      <c r="H4" s="21" t="n">
        <v>6</v>
      </c>
      <c r="I4" s="21" t="n">
        <v>7</v>
      </c>
      <c r="J4" s="21" t="n">
        <v>8</v>
      </c>
      <c r="K4" s="21" t="n">
        <v>9</v>
      </c>
      <c r="L4" s="21" t="n">
        <v>10</v>
      </c>
      <c r="M4" s="21" t="n">
        <v>11</v>
      </c>
      <c r="N4" s="21" t="n">
        <v>12</v>
      </c>
      <c r="O4" s="21" t="n">
        <v>13</v>
      </c>
      <c r="P4" s="21" t="n">
        <v>14</v>
      </c>
      <c r="Q4" s="21" t="n">
        <v>15</v>
      </c>
      <c r="R4" s="21" t="n">
        <v>16</v>
      </c>
      <c r="S4" s="21" t="n">
        <v>17</v>
      </c>
      <c r="T4" s="21" t="n">
        <v>18</v>
      </c>
      <c r="U4" s="21" t="n">
        <v>19</v>
      </c>
      <c r="V4" s="21" t="n">
        <v>20</v>
      </c>
      <c r="W4" s="21" t="n">
        <v>21</v>
      </c>
      <c r="X4" s="21" t="n">
        <v>22</v>
      </c>
      <c r="Y4" s="21" t="n">
        <v>23</v>
      </c>
      <c r="Z4" s="21" t="n">
        <v>24</v>
      </c>
      <c r="AA4" s="21" t="n">
        <v>25</v>
      </c>
      <c r="AB4" s="21" t="n">
        <v>26</v>
      </c>
      <c r="AC4" s="21" t="n">
        <v>27</v>
      </c>
      <c r="AD4" s="21" t="n">
        <v>28</v>
      </c>
      <c r="AE4" s="21" t="n">
        <v>29</v>
      </c>
      <c r="AF4" s="21" t="n">
        <v>30</v>
      </c>
      <c r="AG4" s="21" t="n">
        <v>31</v>
      </c>
      <c r="AH4" s="21" t="n">
        <v>32</v>
      </c>
      <c r="AI4" s="21" t="n">
        <v>33</v>
      </c>
      <c r="AJ4" s="21" t="n">
        <v>34</v>
      </c>
      <c r="AK4" s="21" t="n">
        <v>35</v>
      </c>
      <c r="AL4" s="21" t="n">
        <v>36</v>
      </c>
      <c r="AM4" s="21" t="n">
        <v>37</v>
      </c>
      <c r="AN4" s="21" t="n">
        <v>38</v>
      </c>
      <c r="AO4" s="21" t="n">
        <v>39</v>
      </c>
      <c r="AP4" s="21" t="n">
        <v>40</v>
      </c>
      <c r="AQ4" s="21" t="n">
        <v>41</v>
      </c>
      <c r="AR4" s="21" t="n">
        <v>42</v>
      </c>
      <c r="AS4" s="21" t="n">
        <v>43</v>
      </c>
      <c r="AT4" s="21" t="n">
        <v>44</v>
      </c>
      <c r="AU4" s="21" t="n">
        <v>45</v>
      </c>
      <c r="AV4" s="21" t="n">
        <v>46</v>
      </c>
      <c r="AW4" s="21" t="n">
        <v>47</v>
      </c>
      <c r="AX4" s="21" t="n">
        <v>48</v>
      </c>
      <c r="AY4" s="21" t="n">
        <v>49</v>
      </c>
      <c r="AZ4" s="21" t="n">
        <v>50</v>
      </c>
      <c r="BA4" s="21" t="n">
        <v>51</v>
      </c>
      <c r="BB4" s="21" t="n">
        <v>52</v>
      </c>
      <c r="BC4" s="21" t="n">
        <v>53</v>
      </c>
      <c r="BD4" s="21" t="n">
        <v>54</v>
      </c>
      <c r="BE4" s="21" t="n">
        <v>55</v>
      </c>
      <c r="BF4" s="21" t="n">
        <v>56</v>
      </c>
      <c r="BG4" s="21" t="n">
        <v>57</v>
      </c>
      <c r="BH4" s="21" t="n">
        <v>58</v>
      </c>
      <c r="BI4" s="21" t="n">
        <v>59</v>
      </c>
      <c r="BJ4" s="21" t="n">
        <v>60</v>
      </c>
    </row>
    <row r="5" customFormat="false" ht="15" hidden="false" customHeight="false" outlineLevel="0" collapsed="false">
      <c r="A5" s="10" t="s">
        <v>115</v>
      </c>
      <c r="C5" s="21" t="n">
        <f aca="false">INT((C4-1)/12)+1</f>
        <v>1</v>
      </c>
      <c r="D5" s="21" t="n">
        <f aca="false">INT((D4-1)/12)+1</f>
        <v>1</v>
      </c>
      <c r="E5" s="21" t="n">
        <f aca="false">INT((E4-1)/12)+1</f>
        <v>1</v>
      </c>
      <c r="F5" s="21" t="n">
        <f aca="false">INT((F4-1)/12)+1</f>
        <v>1</v>
      </c>
      <c r="G5" s="21" t="n">
        <f aca="false">INT((G4-1)/12)+1</f>
        <v>1</v>
      </c>
      <c r="H5" s="21" t="n">
        <f aca="false">INT((H4-1)/12)+1</f>
        <v>1</v>
      </c>
      <c r="I5" s="21" t="n">
        <f aca="false">INT((I4-1)/12)+1</f>
        <v>1</v>
      </c>
      <c r="J5" s="21" t="n">
        <f aca="false">INT((J4-1)/12)+1</f>
        <v>1</v>
      </c>
      <c r="K5" s="21" t="n">
        <f aca="false">INT((K4-1)/12)+1</f>
        <v>1</v>
      </c>
      <c r="L5" s="21" t="n">
        <f aca="false">INT((L4-1)/12)+1</f>
        <v>1</v>
      </c>
      <c r="M5" s="21" t="n">
        <f aca="false">INT((M4-1)/12)+1</f>
        <v>1</v>
      </c>
      <c r="N5" s="21" t="n">
        <f aca="false">INT((N4-1)/12)+1</f>
        <v>1</v>
      </c>
      <c r="O5" s="21" t="n">
        <f aca="false">INT((O4-1)/12)+1</f>
        <v>2</v>
      </c>
      <c r="P5" s="21" t="n">
        <f aca="false">INT((P4-1)/12)+1</f>
        <v>2</v>
      </c>
      <c r="Q5" s="21" t="n">
        <f aca="false">INT((Q4-1)/12)+1</f>
        <v>2</v>
      </c>
      <c r="R5" s="21" t="n">
        <f aca="false">INT((R4-1)/12)+1</f>
        <v>2</v>
      </c>
      <c r="S5" s="21" t="n">
        <f aca="false">INT((S4-1)/12)+1</f>
        <v>2</v>
      </c>
      <c r="T5" s="21" t="n">
        <f aca="false">INT((T4-1)/12)+1</f>
        <v>2</v>
      </c>
      <c r="U5" s="21" t="n">
        <f aca="false">INT((U4-1)/12)+1</f>
        <v>2</v>
      </c>
      <c r="V5" s="21" t="n">
        <f aca="false">INT((V4-1)/12)+1</f>
        <v>2</v>
      </c>
      <c r="W5" s="21" t="n">
        <f aca="false">INT((W4-1)/12)+1</f>
        <v>2</v>
      </c>
      <c r="X5" s="21" t="n">
        <f aca="false">INT((X4-1)/12)+1</f>
        <v>2</v>
      </c>
      <c r="Y5" s="21" t="n">
        <f aca="false">INT((Y4-1)/12)+1</f>
        <v>2</v>
      </c>
      <c r="Z5" s="21" t="n">
        <f aca="false">INT((Z4-1)/12)+1</f>
        <v>2</v>
      </c>
      <c r="AA5" s="21" t="n">
        <f aca="false">INT((AA4-1)/12)+1</f>
        <v>3</v>
      </c>
      <c r="AB5" s="21" t="n">
        <f aca="false">INT((AB4-1)/12)+1</f>
        <v>3</v>
      </c>
      <c r="AC5" s="21" t="n">
        <f aca="false">INT((AC4-1)/12)+1</f>
        <v>3</v>
      </c>
      <c r="AD5" s="21" t="n">
        <f aca="false">INT((AD4-1)/12)+1</f>
        <v>3</v>
      </c>
      <c r="AE5" s="21" t="n">
        <f aca="false">INT((AE4-1)/12)+1</f>
        <v>3</v>
      </c>
      <c r="AF5" s="21" t="n">
        <f aca="false">INT((AF4-1)/12)+1</f>
        <v>3</v>
      </c>
      <c r="AG5" s="21" t="n">
        <f aca="false">INT((AG4-1)/12)+1</f>
        <v>3</v>
      </c>
      <c r="AH5" s="21" t="n">
        <f aca="false">INT((AH4-1)/12)+1</f>
        <v>3</v>
      </c>
      <c r="AI5" s="21" t="n">
        <f aca="false">INT((AI4-1)/12)+1</f>
        <v>3</v>
      </c>
      <c r="AJ5" s="21" t="n">
        <f aca="false">INT((AJ4-1)/12)+1</f>
        <v>3</v>
      </c>
      <c r="AK5" s="21" t="n">
        <f aca="false">INT((AK4-1)/12)+1</f>
        <v>3</v>
      </c>
      <c r="AL5" s="21" t="n">
        <f aca="false">INT((AL4-1)/12)+1</f>
        <v>3</v>
      </c>
      <c r="AM5" s="21" t="n">
        <f aca="false">INT((AM4-1)/12)+1</f>
        <v>4</v>
      </c>
      <c r="AN5" s="21" t="n">
        <f aca="false">INT((AN4-1)/12)+1</f>
        <v>4</v>
      </c>
      <c r="AO5" s="21" t="n">
        <f aca="false">INT((AO4-1)/12)+1</f>
        <v>4</v>
      </c>
      <c r="AP5" s="21" t="n">
        <f aca="false">INT((AP4-1)/12)+1</f>
        <v>4</v>
      </c>
      <c r="AQ5" s="21" t="n">
        <f aca="false">INT((AQ4-1)/12)+1</f>
        <v>4</v>
      </c>
      <c r="AR5" s="21" t="n">
        <f aca="false">INT((AR4-1)/12)+1</f>
        <v>4</v>
      </c>
      <c r="AS5" s="21" t="n">
        <f aca="false">INT((AS4-1)/12)+1</f>
        <v>4</v>
      </c>
      <c r="AT5" s="21" t="n">
        <f aca="false">INT((AT4-1)/12)+1</f>
        <v>4</v>
      </c>
      <c r="AU5" s="21" t="n">
        <f aca="false">INT((AU4-1)/12)+1</f>
        <v>4</v>
      </c>
      <c r="AV5" s="21" t="n">
        <f aca="false">INT((AV4-1)/12)+1</f>
        <v>4</v>
      </c>
      <c r="AW5" s="21" t="n">
        <f aca="false">INT((AW4-1)/12)+1</f>
        <v>4</v>
      </c>
      <c r="AX5" s="21" t="n">
        <f aca="false">INT((AX4-1)/12)+1</f>
        <v>4</v>
      </c>
      <c r="AY5" s="21" t="n">
        <f aca="false">INT((AY4-1)/12)+1</f>
        <v>5</v>
      </c>
      <c r="AZ5" s="21" t="n">
        <f aca="false">INT((AZ4-1)/12)+1</f>
        <v>5</v>
      </c>
      <c r="BA5" s="21" t="n">
        <f aca="false">INT((BA4-1)/12)+1</f>
        <v>5</v>
      </c>
      <c r="BB5" s="21" t="n">
        <f aca="false">INT((BB4-1)/12)+1</f>
        <v>5</v>
      </c>
      <c r="BC5" s="21" t="n">
        <f aca="false">INT((BC4-1)/12)+1</f>
        <v>5</v>
      </c>
      <c r="BD5" s="21" t="n">
        <f aca="false">INT((BD4-1)/12)+1</f>
        <v>5</v>
      </c>
      <c r="BE5" s="21" t="n">
        <f aca="false">INT((BE4-1)/12)+1</f>
        <v>5</v>
      </c>
      <c r="BF5" s="21" t="n">
        <f aca="false">INT((BF4-1)/12)+1</f>
        <v>5</v>
      </c>
      <c r="BG5" s="21" t="n">
        <f aca="false">INT((BG4-1)/12)+1</f>
        <v>5</v>
      </c>
      <c r="BH5" s="21" t="n">
        <f aca="false">INT((BH4-1)/12)+1</f>
        <v>5</v>
      </c>
      <c r="BI5" s="21" t="n">
        <f aca="false">INT((BI4-1)/12)+1</f>
        <v>5</v>
      </c>
      <c r="BJ5" s="21" t="n">
        <f aca="false">INT((BJ4-1)/12)+1</f>
        <v>5</v>
      </c>
    </row>
    <row r="6" customFormat="false" ht="15" hidden="false" customHeight="false" outlineLevel="0" collapsed="false">
      <c r="A6" s="5" t="s">
        <v>116</v>
      </c>
      <c r="C6" s="30" t="n">
        <f aca="false">(1+Assumptions!$D$28)^(C5-1)*Assumptions!$B$21</f>
        <v>1</v>
      </c>
      <c r="D6" s="30" t="n">
        <f aca="false">(1+Assumptions!$D$28)^(D5-1)*Assumptions!$B$21</f>
        <v>1</v>
      </c>
      <c r="E6" s="30" t="n">
        <f aca="false">(1+Assumptions!$D$28)^(E5-1)*Assumptions!$B$21</f>
        <v>1</v>
      </c>
      <c r="F6" s="30" t="n">
        <f aca="false">(1+Assumptions!$D$28)^(F5-1)*Assumptions!$B$21</f>
        <v>1</v>
      </c>
      <c r="G6" s="30" t="n">
        <f aca="false">(1+Assumptions!$D$28)^(G5-1)*Assumptions!$B$21</f>
        <v>1</v>
      </c>
      <c r="H6" s="30" t="n">
        <f aca="false">(1+Assumptions!$D$28)^(H5-1)*Assumptions!$B$21</f>
        <v>1</v>
      </c>
      <c r="I6" s="30" t="n">
        <f aca="false">(1+Assumptions!$D$28)^(I5-1)*Assumptions!$B$21</f>
        <v>1</v>
      </c>
      <c r="J6" s="30" t="n">
        <f aca="false">(1+Assumptions!$D$28)^(J5-1)*Assumptions!$B$21</f>
        <v>1</v>
      </c>
      <c r="K6" s="30" t="n">
        <f aca="false">(1+Assumptions!$D$28)^(K5-1)*Assumptions!$B$21</f>
        <v>1</v>
      </c>
      <c r="L6" s="30" t="n">
        <f aca="false">(1+Assumptions!$D$28)^(L5-1)*Assumptions!$B$21</f>
        <v>1</v>
      </c>
      <c r="M6" s="30" t="n">
        <f aca="false">(1+Assumptions!$D$28)^(M5-1)*Assumptions!$B$21</f>
        <v>1</v>
      </c>
      <c r="N6" s="30" t="n">
        <f aca="false">(1+Assumptions!$D$28)^(N5-1)*Assumptions!$B$21</f>
        <v>1</v>
      </c>
      <c r="O6" s="30" t="n">
        <f aca="false">(1+Assumptions!$D$28)^(O5-1)*Assumptions!$B$21</f>
        <v>1.03</v>
      </c>
      <c r="P6" s="30" t="n">
        <f aca="false">(1+Assumptions!$D$28)^(P5-1)*Assumptions!$B$21</f>
        <v>1.03</v>
      </c>
      <c r="Q6" s="30" t="n">
        <f aca="false">(1+Assumptions!$D$28)^(Q5-1)*Assumptions!$B$21</f>
        <v>1.03</v>
      </c>
      <c r="R6" s="30" t="n">
        <f aca="false">(1+Assumptions!$D$28)^(R5-1)*Assumptions!$B$21</f>
        <v>1.03</v>
      </c>
      <c r="S6" s="30" t="n">
        <f aca="false">(1+Assumptions!$D$28)^(S5-1)*Assumptions!$B$21</f>
        <v>1.03</v>
      </c>
      <c r="T6" s="30" t="n">
        <f aca="false">(1+Assumptions!$D$28)^(T5-1)*Assumptions!$B$21</f>
        <v>1.03</v>
      </c>
      <c r="U6" s="30" t="n">
        <f aca="false">(1+Assumptions!$D$28)^(U5-1)*Assumptions!$B$21</f>
        <v>1.03</v>
      </c>
      <c r="V6" s="30" t="n">
        <f aca="false">(1+Assumptions!$D$28)^(V5-1)*Assumptions!$B$21</f>
        <v>1.03</v>
      </c>
      <c r="W6" s="30" t="n">
        <f aca="false">(1+Assumptions!$D$28)^(W5-1)*Assumptions!$B$21</f>
        <v>1.03</v>
      </c>
      <c r="X6" s="30" t="n">
        <f aca="false">(1+Assumptions!$D$28)^(X5-1)*Assumptions!$B$21</f>
        <v>1.03</v>
      </c>
      <c r="Y6" s="30" t="n">
        <f aca="false">(1+Assumptions!$D$28)^(Y5-1)*Assumptions!$B$21</f>
        <v>1.03</v>
      </c>
      <c r="Z6" s="30" t="n">
        <f aca="false">(1+Assumptions!$D$28)^(Z5-1)*Assumptions!$B$21</f>
        <v>1.03</v>
      </c>
      <c r="AA6" s="30" t="n">
        <f aca="false">(1+Assumptions!$D$28)^(AA5-1)*Assumptions!$B$21</f>
        <v>1.0609</v>
      </c>
      <c r="AB6" s="30" t="n">
        <f aca="false">(1+Assumptions!$D$28)^(AB5-1)*Assumptions!$B$21</f>
        <v>1.0609</v>
      </c>
      <c r="AC6" s="30" t="n">
        <f aca="false">(1+Assumptions!$D$28)^(AC5-1)*Assumptions!$B$21</f>
        <v>1.0609</v>
      </c>
      <c r="AD6" s="30" t="n">
        <f aca="false">(1+Assumptions!$D$28)^(AD5-1)*Assumptions!$B$21</f>
        <v>1.0609</v>
      </c>
      <c r="AE6" s="30" t="n">
        <f aca="false">(1+Assumptions!$D$28)^(AE5-1)*Assumptions!$B$21</f>
        <v>1.0609</v>
      </c>
      <c r="AF6" s="30" t="n">
        <f aca="false">(1+Assumptions!$D$28)^(AF5-1)*Assumptions!$B$21</f>
        <v>1.0609</v>
      </c>
      <c r="AG6" s="30" t="n">
        <f aca="false">(1+Assumptions!$D$28)^(AG5-1)*Assumptions!$B$21</f>
        <v>1.0609</v>
      </c>
      <c r="AH6" s="30" t="n">
        <f aca="false">(1+Assumptions!$D$28)^(AH5-1)*Assumptions!$B$21</f>
        <v>1.0609</v>
      </c>
      <c r="AI6" s="30" t="n">
        <f aca="false">(1+Assumptions!$D$28)^(AI5-1)*Assumptions!$B$21</f>
        <v>1.0609</v>
      </c>
      <c r="AJ6" s="30" t="n">
        <f aca="false">(1+Assumptions!$D$28)^(AJ5-1)*Assumptions!$B$21</f>
        <v>1.0609</v>
      </c>
      <c r="AK6" s="30" t="n">
        <f aca="false">(1+Assumptions!$D$28)^(AK5-1)*Assumptions!$B$21</f>
        <v>1.0609</v>
      </c>
      <c r="AL6" s="30" t="n">
        <f aca="false">(1+Assumptions!$D$28)^(AL5-1)*Assumptions!$B$21</f>
        <v>1.0609</v>
      </c>
      <c r="AM6" s="30" t="n">
        <f aca="false">(1+Assumptions!$D$28)^(AM5-1)*Assumptions!$B$21</f>
        <v>1.092727</v>
      </c>
      <c r="AN6" s="30" t="n">
        <f aca="false">(1+Assumptions!$D$28)^(AN5-1)*Assumptions!$B$21</f>
        <v>1.092727</v>
      </c>
      <c r="AO6" s="30" t="n">
        <f aca="false">(1+Assumptions!$D$28)^(AO5-1)*Assumptions!$B$21</f>
        <v>1.092727</v>
      </c>
      <c r="AP6" s="30" t="n">
        <f aca="false">(1+Assumptions!$D$28)^(AP5-1)*Assumptions!$B$21</f>
        <v>1.092727</v>
      </c>
      <c r="AQ6" s="30" t="n">
        <f aca="false">(1+Assumptions!$D$28)^(AQ5-1)*Assumptions!$B$21</f>
        <v>1.092727</v>
      </c>
      <c r="AR6" s="30" t="n">
        <f aca="false">(1+Assumptions!$D$28)^(AR5-1)*Assumptions!$B$21</f>
        <v>1.092727</v>
      </c>
      <c r="AS6" s="30" t="n">
        <f aca="false">(1+Assumptions!$D$28)^(AS5-1)*Assumptions!$B$21</f>
        <v>1.092727</v>
      </c>
      <c r="AT6" s="30" t="n">
        <f aca="false">(1+Assumptions!$D$28)^(AT5-1)*Assumptions!$B$21</f>
        <v>1.092727</v>
      </c>
      <c r="AU6" s="30" t="n">
        <f aca="false">(1+Assumptions!$D$28)^(AU5-1)*Assumptions!$B$21</f>
        <v>1.092727</v>
      </c>
      <c r="AV6" s="30" t="n">
        <f aca="false">(1+Assumptions!$D$28)^(AV5-1)*Assumptions!$B$21</f>
        <v>1.092727</v>
      </c>
      <c r="AW6" s="30" t="n">
        <f aca="false">(1+Assumptions!$D$28)^(AW5-1)*Assumptions!$B$21</f>
        <v>1.092727</v>
      </c>
      <c r="AX6" s="30" t="n">
        <f aca="false">(1+Assumptions!$D$28)^(AX5-1)*Assumptions!$B$21</f>
        <v>1.092727</v>
      </c>
      <c r="AY6" s="30" t="n">
        <f aca="false">(1+Assumptions!$D$28)^(AY5-1)*Assumptions!$B$21</f>
        <v>1.12550881</v>
      </c>
      <c r="AZ6" s="30" t="n">
        <f aca="false">(1+Assumptions!$D$28)^(AZ5-1)*Assumptions!$B$21</f>
        <v>1.12550881</v>
      </c>
      <c r="BA6" s="30" t="n">
        <f aca="false">(1+Assumptions!$D$28)^(BA5-1)*Assumptions!$B$21</f>
        <v>1.12550881</v>
      </c>
      <c r="BB6" s="30" t="n">
        <f aca="false">(1+Assumptions!$D$28)^(BB5-1)*Assumptions!$B$21</f>
        <v>1.12550881</v>
      </c>
      <c r="BC6" s="30" t="n">
        <f aca="false">(1+Assumptions!$D$28)^(BC5-1)*Assumptions!$B$21</f>
        <v>1.12550881</v>
      </c>
      <c r="BD6" s="30" t="n">
        <f aca="false">(1+Assumptions!$D$28)^(BD5-1)*Assumptions!$B$21</f>
        <v>1.12550881</v>
      </c>
      <c r="BE6" s="30" t="n">
        <f aca="false">(1+Assumptions!$D$28)^(BE5-1)*Assumptions!$B$21</f>
        <v>1.12550881</v>
      </c>
      <c r="BF6" s="30" t="n">
        <f aca="false">(1+Assumptions!$D$28)^(BF5-1)*Assumptions!$B$21</f>
        <v>1.12550881</v>
      </c>
      <c r="BG6" s="30" t="n">
        <f aca="false">(1+Assumptions!$D$28)^(BG5-1)*Assumptions!$B$21</f>
        <v>1.12550881</v>
      </c>
      <c r="BH6" s="30" t="n">
        <f aca="false">(1+Assumptions!$D$28)^(BH5-1)*Assumptions!$B$21</f>
        <v>1.12550881</v>
      </c>
      <c r="BI6" s="30" t="n">
        <f aca="false">(1+Assumptions!$D$28)^(BI5-1)*Assumptions!$B$21</f>
        <v>1.12550881</v>
      </c>
      <c r="BJ6" s="30" t="n">
        <f aca="false">(1+Assumptions!$D$28)^(BJ5-1)*Assumptions!$B$21</f>
        <v>1.12550881</v>
      </c>
    </row>
    <row r="8" customFormat="false" ht="15" hidden="false" customHeight="false" outlineLevel="0" collapsed="false">
      <c r="A8" s="10" t="s">
        <v>117</v>
      </c>
    </row>
    <row r="9" customFormat="false" ht="15" hidden="false" customHeight="false" outlineLevel="0" collapsed="false">
      <c r="A9" s="5" t="s">
        <v>42</v>
      </c>
      <c r="C9" s="31" t="n">
        <f aca="false">IF(C4&lt;Assumptions!$E$6,0,MIN(1,(C4-Assumptions!$E$6+1)/Assumptions!$D$29))</f>
        <v>0.0833333333333333</v>
      </c>
      <c r="D9" s="31" t="n">
        <f aca="false">IF(D4&lt;Assumptions!$E$6,0,MIN(1,(D4-Assumptions!$E$6+1)/Assumptions!$D$29))</f>
        <v>0.166666666666667</v>
      </c>
      <c r="E9" s="31" t="n">
        <f aca="false">IF(E4&lt;Assumptions!$E$6,0,MIN(1,(E4-Assumptions!$E$6+1)/Assumptions!$D$29))</f>
        <v>0.25</v>
      </c>
      <c r="F9" s="31" t="n">
        <f aca="false">IF(F4&lt;Assumptions!$E$6,0,MIN(1,(F4-Assumptions!$E$6+1)/Assumptions!$D$29))</f>
        <v>0.333333333333333</v>
      </c>
      <c r="G9" s="31" t="n">
        <f aca="false">IF(G4&lt;Assumptions!$E$6,0,MIN(1,(G4-Assumptions!$E$6+1)/Assumptions!$D$29))</f>
        <v>0.416666666666667</v>
      </c>
      <c r="H9" s="31" t="n">
        <f aca="false">IF(H4&lt;Assumptions!$E$6,0,MIN(1,(H4-Assumptions!$E$6+1)/Assumptions!$D$29))</f>
        <v>0.5</v>
      </c>
      <c r="I9" s="31" t="n">
        <f aca="false">IF(I4&lt;Assumptions!$E$6,0,MIN(1,(I4-Assumptions!$E$6+1)/Assumptions!$D$29))</f>
        <v>0.583333333333333</v>
      </c>
      <c r="J9" s="31" t="n">
        <f aca="false">IF(J4&lt;Assumptions!$E$6,0,MIN(1,(J4-Assumptions!$E$6+1)/Assumptions!$D$29))</f>
        <v>0.666666666666667</v>
      </c>
      <c r="K9" s="31" t="n">
        <f aca="false">IF(K4&lt;Assumptions!$E$6,0,MIN(1,(K4-Assumptions!$E$6+1)/Assumptions!$D$29))</f>
        <v>0.75</v>
      </c>
      <c r="L9" s="31" t="n">
        <f aca="false">IF(L4&lt;Assumptions!$E$6,0,MIN(1,(L4-Assumptions!$E$6+1)/Assumptions!$D$29))</f>
        <v>0.833333333333333</v>
      </c>
      <c r="M9" s="31" t="n">
        <f aca="false">IF(M4&lt;Assumptions!$E$6,0,MIN(1,(M4-Assumptions!$E$6+1)/Assumptions!$D$29))</f>
        <v>0.916666666666667</v>
      </c>
      <c r="N9" s="31" t="n">
        <f aca="false">IF(N4&lt;Assumptions!$E$6,0,MIN(1,(N4-Assumptions!$E$6+1)/Assumptions!$D$29))</f>
        <v>1</v>
      </c>
      <c r="O9" s="31" t="n">
        <f aca="false">IF(O4&lt;Assumptions!$E$6,0,MIN(1,(O4-Assumptions!$E$6+1)/Assumptions!$D$29))</f>
        <v>1</v>
      </c>
      <c r="P9" s="31" t="n">
        <f aca="false">IF(P4&lt;Assumptions!$E$6,0,MIN(1,(P4-Assumptions!$E$6+1)/Assumptions!$D$29))</f>
        <v>1</v>
      </c>
      <c r="Q9" s="31" t="n">
        <f aca="false">IF(Q4&lt;Assumptions!$E$6,0,MIN(1,(Q4-Assumptions!$E$6+1)/Assumptions!$D$29))</f>
        <v>1</v>
      </c>
      <c r="R9" s="31" t="n">
        <f aca="false">IF(R4&lt;Assumptions!$E$6,0,MIN(1,(R4-Assumptions!$E$6+1)/Assumptions!$D$29))</f>
        <v>1</v>
      </c>
      <c r="S9" s="31" t="n">
        <f aca="false">IF(S4&lt;Assumptions!$E$6,0,MIN(1,(S4-Assumptions!$E$6+1)/Assumptions!$D$29))</f>
        <v>1</v>
      </c>
      <c r="T9" s="31" t="n">
        <f aca="false">IF(T4&lt;Assumptions!$E$6,0,MIN(1,(T4-Assumptions!$E$6+1)/Assumptions!$D$29))</f>
        <v>1</v>
      </c>
      <c r="U9" s="31" t="n">
        <f aca="false">IF(U4&lt;Assumptions!$E$6,0,MIN(1,(U4-Assumptions!$E$6+1)/Assumptions!$D$29))</f>
        <v>1</v>
      </c>
      <c r="V9" s="31" t="n">
        <f aca="false">IF(V4&lt;Assumptions!$E$6,0,MIN(1,(V4-Assumptions!$E$6+1)/Assumptions!$D$29))</f>
        <v>1</v>
      </c>
      <c r="W9" s="31" t="n">
        <f aca="false">IF(W4&lt;Assumptions!$E$6,0,MIN(1,(W4-Assumptions!$E$6+1)/Assumptions!$D$29))</f>
        <v>1</v>
      </c>
      <c r="X9" s="31" t="n">
        <f aca="false">IF(X4&lt;Assumptions!$E$6,0,MIN(1,(X4-Assumptions!$E$6+1)/Assumptions!$D$29))</f>
        <v>1</v>
      </c>
      <c r="Y9" s="31" t="n">
        <f aca="false">IF(Y4&lt;Assumptions!$E$6,0,MIN(1,(Y4-Assumptions!$E$6+1)/Assumptions!$D$29))</f>
        <v>1</v>
      </c>
      <c r="Z9" s="31" t="n">
        <f aca="false">IF(Z4&lt;Assumptions!$E$6,0,MIN(1,(Z4-Assumptions!$E$6+1)/Assumptions!$D$29))</f>
        <v>1</v>
      </c>
      <c r="AA9" s="31" t="n">
        <f aca="false">IF(AA4&lt;Assumptions!$E$6,0,MIN(1,(AA4-Assumptions!$E$6+1)/Assumptions!$D$29))</f>
        <v>1</v>
      </c>
      <c r="AB9" s="31" t="n">
        <f aca="false">IF(AB4&lt;Assumptions!$E$6,0,MIN(1,(AB4-Assumptions!$E$6+1)/Assumptions!$D$29))</f>
        <v>1</v>
      </c>
      <c r="AC9" s="31" t="n">
        <f aca="false">IF(AC4&lt;Assumptions!$E$6,0,MIN(1,(AC4-Assumptions!$E$6+1)/Assumptions!$D$29))</f>
        <v>1</v>
      </c>
      <c r="AD9" s="31" t="n">
        <f aca="false">IF(AD4&lt;Assumptions!$E$6,0,MIN(1,(AD4-Assumptions!$E$6+1)/Assumptions!$D$29))</f>
        <v>1</v>
      </c>
      <c r="AE9" s="31" t="n">
        <f aca="false">IF(AE4&lt;Assumptions!$E$6,0,MIN(1,(AE4-Assumptions!$E$6+1)/Assumptions!$D$29))</f>
        <v>1</v>
      </c>
      <c r="AF9" s="31" t="n">
        <f aca="false">IF(AF4&lt;Assumptions!$E$6,0,MIN(1,(AF4-Assumptions!$E$6+1)/Assumptions!$D$29))</f>
        <v>1</v>
      </c>
      <c r="AG9" s="31" t="n">
        <f aca="false">IF(AG4&lt;Assumptions!$E$6,0,MIN(1,(AG4-Assumptions!$E$6+1)/Assumptions!$D$29))</f>
        <v>1</v>
      </c>
      <c r="AH9" s="31" t="n">
        <f aca="false">IF(AH4&lt;Assumptions!$E$6,0,MIN(1,(AH4-Assumptions!$E$6+1)/Assumptions!$D$29))</f>
        <v>1</v>
      </c>
      <c r="AI9" s="31" t="n">
        <f aca="false">IF(AI4&lt;Assumptions!$E$6,0,MIN(1,(AI4-Assumptions!$E$6+1)/Assumptions!$D$29))</f>
        <v>1</v>
      </c>
      <c r="AJ9" s="31" t="n">
        <f aca="false">IF(AJ4&lt;Assumptions!$E$6,0,MIN(1,(AJ4-Assumptions!$E$6+1)/Assumptions!$D$29))</f>
        <v>1</v>
      </c>
      <c r="AK9" s="31" t="n">
        <f aca="false">IF(AK4&lt;Assumptions!$E$6,0,MIN(1,(AK4-Assumptions!$E$6+1)/Assumptions!$D$29))</f>
        <v>1</v>
      </c>
      <c r="AL9" s="31" t="n">
        <f aca="false">IF(AL4&lt;Assumptions!$E$6,0,MIN(1,(AL4-Assumptions!$E$6+1)/Assumptions!$D$29))</f>
        <v>1</v>
      </c>
      <c r="AM9" s="31" t="n">
        <f aca="false">IF(AM4&lt;Assumptions!$E$6,0,MIN(1,(AM4-Assumptions!$E$6+1)/Assumptions!$D$29))</f>
        <v>1</v>
      </c>
      <c r="AN9" s="31" t="n">
        <f aca="false">IF(AN4&lt;Assumptions!$E$6,0,MIN(1,(AN4-Assumptions!$E$6+1)/Assumptions!$D$29))</f>
        <v>1</v>
      </c>
      <c r="AO9" s="31" t="n">
        <f aca="false">IF(AO4&lt;Assumptions!$E$6,0,MIN(1,(AO4-Assumptions!$E$6+1)/Assumptions!$D$29))</f>
        <v>1</v>
      </c>
      <c r="AP9" s="31" t="n">
        <f aca="false">IF(AP4&lt;Assumptions!$E$6,0,MIN(1,(AP4-Assumptions!$E$6+1)/Assumptions!$D$29))</f>
        <v>1</v>
      </c>
      <c r="AQ9" s="31" t="n">
        <f aca="false">IF(AQ4&lt;Assumptions!$E$6,0,MIN(1,(AQ4-Assumptions!$E$6+1)/Assumptions!$D$29))</f>
        <v>1</v>
      </c>
      <c r="AR9" s="31" t="n">
        <f aca="false">IF(AR4&lt;Assumptions!$E$6,0,MIN(1,(AR4-Assumptions!$E$6+1)/Assumptions!$D$29))</f>
        <v>1</v>
      </c>
      <c r="AS9" s="31" t="n">
        <f aca="false">IF(AS4&lt;Assumptions!$E$6,0,MIN(1,(AS4-Assumptions!$E$6+1)/Assumptions!$D$29))</f>
        <v>1</v>
      </c>
      <c r="AT9" s="31" t="n">
        <f aca="false">IF(AT4&lt;Assumptions!$E$6,0,MIN(1,(AT4-Assumptions!$E$6+1)/Assumptions!$D$29))</f>
        <v>1</v>
      </c>
      <c r="AU9" s="31" t="n">
        <f aca="false">IF(AU4&lt;Assumptions!$E$6,0,MIN(1,(AU4-Assumptions!$E$6+1)/Assumptions!$D$29))</f>
        <v>1</v>
      </c>
      <c r="AV9" s="31" t="n">
        <f aca="false">IF(AV4&lt;Assumptions!$E$6,0,MIN(1,(AV4-Assumptions!$E$6+1)/Assumptions!$D$29))</f>
        <v>1</v>
      </c>
      <c r="AW9" s="31" t="n">
        <f aca="false">IF(AW4&lt;Assumptions!$E$6,0,MIN(1,(AW4-Assumptions!$E$6+1)/Assumptions!$D$29))</f>
        <v>1</v>
      </c>
      <c r="AX9" s="31" t="n">
        <f aca="false">IF(AX4&lt;Assumptions!$E$6,0,MIN(1,(AX4-Assumptions!$E$6+1)/Assumptions!$D$29))</f>
        <v>1</v>
      </c>
      <c r="AY9" s="31" t="n">
        <f aca="false">IF(AY4&lt;Assumptions!$E$6,0,MIN(1,(AY4-Assumptions!$E$6+1)/Assumptions!$D$29))</f>
        <v>1</v>
      </c>
      <c r="AZ9" s="31" t="n">
        <f aca="false">IF(AZ4&lt;Assumptions!$E$6,0,MIN(1,(AZ4-Assumptions!$E$6+1)/Assumptions!$D$29))</f>
        <v>1</v>
      </c>
      <c r="BA9" s="31" t="n">
        <f aca="false">IF(BA4&lt;Assumptions!$E$6,0,MIN(1,(BA4-Assumptions!$E$6+1)/Assumptions!$D$29))</f>
        <v>1</v>
      </c>
      <c r="BB9" s="31" t="n">
        <f aca="false">IF(BB4&lt;Assumptions!$E$6,0,MIN(1,(BB4-Assumptions!$E$6+1)/Assumptions!$D$29))</f>
        <v>1</v>
      </c>
      <c r="BC9" s="31" t="n">
        <f aca="false">IF(BC4&lt;Assumptions!$E$6,0,MIN(1,(BC4-Assumptions!$E$6+1)/Assumptions!$D$29))</f>
        <v>1</v>
      </c>
      <c r="BD9" s="31" t="n">
        <f aca="false">IF(BD4&lt;Assumptions!$E$6,0,MIN(1,(BD4-Assumptions!$E$6+1)/Assumptions!$D$29))</f>
        <v>1</v>
      </c>
      <c r="BE9" s="31" t="n">
        <f aca="false">IF(BE4&lt;Assumptions!$E$6,0,MIN(1,(BE4-Assumptions!$E$6+1)/Assumptions!$D$29))</f>
        <v>1</v>
      </c>
      <c r="BF9" s="31" t="n">
        <f aca="false">IF(BF4&lt;Assumptions!$E$6,0,MIN(1,(BF4-Assumptions!$E$6+1)/Assumptions!$D$29))</f>
        <v>1</v>
      </c>
      <c r="BG9" s="31" t="n">
        <f aca="false">IF(BG4&lt;Assumptions!$E$6,0,MIN(1,(BG4-Assumptions!$E$6+1)/Assumptions!$D$29))</f>
        <v>1</v>
      </c>
      <c r="BH9" s="31" t="n">
        <f aca="false">IF(BH4&lt;Assumptions!$E$6,0,MIN(1,(BH4-Assumptions!$E$6+1)/Assumptions!$D$29))</f>
        <v>1</v>
      </c>
      <c r="BI9" s="31" t="n">
        <f aca="false">IF(BI4&lt;Assumptions!$E$6,0,MIN(1,(BI4-Assumptions!$E$6+1)/Assumptions!$D$29))</f>
        <v>1</v>
      </c>
      <c r="BJ9" s="31" t="n">
        <f aca="false">IF(BJ4&lt;Assumptions!$E$6,0,MIN(1,(BJ4-Assumptions!$E$6+1)/Assumptions!$D$29))</f>
        <v>1</v>
      </c>
    </row>
    <row r="10" customFormat="false" ht="15" hidden="false" customHeight="false" outlineLevel="0" collapsed="false">
      <c r="A10" s="5" t="s">
        <v>44</v>
      </c>
      <c r="C10" s="31" t="n">
        <f aca="false">IF(C4&lt;Assumptions!$E$7,0,MIN(1,(C4-Assumptions!$E$7+1)/Assumptions!$D$29))</f>
        <v>0</v>
      </c>
      <c r="D10" s="31" t="n">
        <f aca="false">IF(D4&lt;Assumptions!$E$7,0,MIN(1,(D4-Assumptions!$E$7+1)/Assumptions!$D$29))</f>
        <v>0</v>
      </c>
      <c r="E10" s="31" t="n">
        <f aca="false">IF(E4&lt;Assumptions!$E$7,0,MIN(1,(E4-Assumptions!$E$7+1)/Assumptions!$D$29))</f>
        <v>0</v>
      </c>
      <c r="F10" s="31" t="n">
        <f aca="false">IF(F4&lt;Assumptions!$E$7,0,MIN(1,(F4-Assumptions!$E$7+1)/Assumptions!$D$29))</f>
        <v>0</v>
      </c>
      <c r="G10" s="31" t="n">
        <f aca="false">IF(G4&lt;Assumptions!$E$7,0,MIN(1,(G4-Assumptions!$E$7+1)/Assumptions!$D$29))</f>
        <v>0</v>
      </c>
      <c r="H10" s="31" t="n">
        <f aca="false">IF(H4&lt;Assumptions!$E$7,0,MIN(1,(H4-Assumptions!$E$7+1)/Assumptions!$D$29))</f>
        <v>0</v>
      </c>
      <c r="I10" s="31" t="n">
        <f aca="false">IF(I4&lt;Assumptions!$E$7,0,MIN(1,(I4-Assumptions!$E$7+1)/Assumptions!$D$29))</f>
        <v>0.0833333333333333</v>
      </c>
      <c r="J10" s="31" t="n">
        <f aca="false">IF(J4&lt;Assumptions!$E$7,0,MIN(1,(J4-Assumptions!$E$7+1)/Assumptions!$D$29))</f>
        <v>0.166666666666667</v>
      </c>
      <c r="K10" s="31" t="n">
        <f aca="false">IF(K4&lt;Assumptions!$E$7,0,MIN(1,(K4-Assumptions!$E$7+1)/Assumptions!$D$29))</f>
        <v>0.25</v>
      </c>
      <c r="L10" s="31" t="n">
        <f aca="false">IF(L4&lt;Assumptions!$E$7,0,MIN(1,(L4-Assumptions!$E$7+1)/Assumptions!$D$29))</f>
        <v>0.333333333333333</v>
      </c>
      <c r="M10" s="31" t="n">
        <f aca="false">IF(M4&lt;Assumptions!$E$7,0,MIN(1,(M4-Assumptions!$E$7+1)/Assumptions!$D$29))</f>
        <v>0.416666666666667</v>
      </c>
      <c r="N10" s="31" t="n">
        <f aca="false">IF(N4&lt;Assumptions!$E$7,0,MIN(1,(N4-Assumptions!$E$7+1)/Assumptions!$D$29))</f>
        <v>0.5</v>
      </c>
      <c r="O10" s="31" t="n">
        <f aca="false">IF(O4&lt;Assumptions!$E$7,0,MIN(1,(O4-Assumptions!$E$7+1)/Assumptions!$D$29))</f>
        <v>0.583333333333333</v>
      </c>
      <c r="P10" s="31" t="n">
        <f aca="false">IF(P4&lt;Assumptions!$E$7,0,MIN(1,(P4-Assumptions!$E$7+1)/Assumptions!$D$29))</f>
        <v>0.666666666666667</v>
      </c>
      <c r="Q10" s="31" t="n">
        <f aca="false">IF(Q4&lt;Assumptions!$E$7,0,MIN(1,(Q4-Assumptions!$E$7+1)/Assumptions!$D$29))</f>
        <v>0.75</v>
      </c>
      <c r="R10" s="31" t="n">
        <f aca="false">IF(R4&lt;Assumptions!$E$7,0,MIN(1,(R4-Assumptions!$E$7+1)/Assumptions!$D$29))</f>
        <v>0.833333333333333</v>
      </c>
      <c r="S10" s="31" t="n">
        <f aca="false">IF(S4&lt;Assumptions!$E$7,0,MIN(1,(S4-Assumptions!$E$7+1)/Assumptions!$D$29))</f>
        <v>0.916666666666667</v>
      </c>
      <c r="T10" s="31" t="n">
        <f aca="false">IF(T4&lt;Assumptions!$E$7,0,MIN(1,(T4-Assumptions!$E$7+1)/Assumptions!$D$29))</f>
        <v>1</v>
      </c>
      <c r="U10" s="31" t="n">
        <f aca="false">IF(U4&lt;Assumptions!$E$7,0,MIN(1,(U4-Assumptions!$E$7+1)/Assumptions!$D$29))</f>
        <v>1</v>
      </c>
      <c r="V10" s="31" t="n">
        <f aca="false">IF(V4&lt;Assumptions!$E$7,0,MIN(1,(V4-Assumptions!$E$7+1)/Assumptions!$D$29))</f>
        <v>1</v>
      </c>
      <c r="W10" s="31" t="n">
        <f aca="false">IF(W4&lt;Assumptions!$E$7,0,MIN(1,(W4-Assumptions!$E$7+1)/Assumptions!$D$29))</f>
        <v>1</v>
      </c>
      <c r="X10" s="31" t="n">
        <f aca="false">IF(X4&lt;Assumptions!$E$7,0,MIN(1,(X4-Assumptions!$E$7+1)/Assumptions!$D$29))</f>
        <v>1</v>
      </c>
      <c r="Y10" s="31" t="n">
        <f aca="false">IF(Y4&lt;Assumptions!$E$7,0,MIN(1,(Y4-Assumptions!$E$7+1)/Assumptions!$D$29))</f>
        <v>1</v>
      </c>
      <c r="Z10" s="31" t="n">
        <f aca="false">IF(Z4&lt;Assumptions!$E$7,0,MIN(1,(Z4-Assumptions!$E$7+1)/Assumptions!$D$29))</f>
        <v>1</v>
      </c>
      <c r="AA10" s="31" t="n">
        <f aca="false">IF(AA4&lt;Assumptions!$E$7,0,MIN(1,(AA4-Assumptions!$E$7+1)/Assumptions!$D$29))</f>
        <v>1</v>
      </c>
      <c r="AB10" s="31" t="n">
        <f aca="false">IF(AB4&lt;Assumptions!$E$7,0,MIN(1,(AB4-Assumptions!$E$7+1)/Assumptions!$D$29))</f>
        <v>1</v>
      </c>
      <c r="AC10" s="31" t="n">
        <f aca="false">IF(AC4&lt;Assumptions!$E$7,0,MIN(1,(AC4-Assumptions!$E$7+1)/Assumptions!$D$29))</f>
        <v>1</v>
      </c>
      <c r="AD10" s="31" t="n">
        <f aca="false">IF(AD4&lt;Assumptions!$E$7,0,MIN(1,(AD4-Assumptions!$E$7+1)/Assumptions!$D$29))</f>
        <v>1</v>
      </c>
      <c r="AE10" s="31" t="n">
        <f aca="false">IF(AE4&lt;Assumptions!$E$7,0,MIN(1,(AE4-Assumptions!$E$7+1)/Assumptions!$D$29))</f>
        <v>1</v>
      </c>
      <c r="AF10" s="31" t="n">
        <f aca="false">IF(AF4&lt;Assumptions!$E$7,0,MIN(1,(AF4-Assumptions!$E$7+1)/Assumptions!$D$29))</f>
        <v>1</v>
      </c>
      <c r="AG10" s="31" t="n">
        <f aca="false">IF(AG4&lt;Assumptions!$E$7,0,MIN(1,(AG4-Assumptions!$E$7+1)/Assumptions!$D$29))</f>
        <v>1</v>
      </c>
      <c r="AH10" s="31" t="n">
        <f aca="false">IF(AH4&lt;Assumptions!$E$7,0,MIN(1,(AH4-Assumptions!$E$7+1)/Assumptions!$D$29))</f>
        <v>1</v>
      </c>
      <c r="AI10" s="31" t="n">
        <f aca="false">IF(AI4&lt;Assumptions!$E$7,0,MIN(1,(AI4-Assumptions!$E$7+1)/Assumptions!$D$29))</f>
        <v>1</v>
      </c>
      <c r="AJ10" s="31" t="n">
        <f aca="false">IF(AJ4&lt;Assumptions!$E$7,0,MIN(1,(AJ4-Assumptions!$E$7+1)/Assumptions!$D$29))</f>
        <v>1</v>
      </c>
      <c r="AK10" s="31" t="n">
        <f aca="false">IF(AK4&lt;Assumptions!$E$7,0,MIN(1,(AK4-Assumptions!$E$7+1)/Assumptions!$D$29))</f>
        <v>1</v>
      </c>
      <c r="AL10" s="31" t="n">
        <f aca="false">IF(AL4&lt;Assumptions!$E$7,0,MIN(1,(AL4-Assumptions!$E$7+1)/Assumptions!$D$29))</f>
        <v>1</v>
      </c>
      <c r="AM10" s="31" t="n">
        <f aca="false">IF(AM4&lt;Assumptions!$E$7,0,MIN(1,(AM4-Assumptions!$E$7+1)/Assumptions!$D$29))</f>
        <v>1</v>
      </c>
      <c r="AN10" s="31" t="n">
        <f aca="false">IF(AN4&lt;Assumptions!$E$7,0,MIN(1,(AN4-Assumptions!$E$7+1)/Assumptions!$D$29))</f>
        <v>1</v>
      </c>
      <c r="AO10" s="31" t="n">
        <f aca="false">IF(AO4&lt;Assumptions!$E$7,0,MIN(1,(AO4-Assumptions!$E$7+1)/Assumptions!$D$29))</f>
        <v>1</v>
      </c>
      <c r="AP10" s="31" t="n">
        <f aca="false">IF(AP4&lt;Assumptions!$E$7,0,MIN(1,(AP4-Assumptions!$E$7+1)/Assumptions!$D$29))</f>
        <v>1</v>
      </c>
      <c r="AQ10" s="31" t="n">
        <f aca="false">IF(AQ4&lt;Assumptions!$E$7,0,MIN(1,(AQ4-Assumptions!$E$7+1)/Assumptions!$D$29))</f>
        <v>1</v>
      </c>
      <c r="AR10" s="31" t="n">
        <f aca="false">IF(AR4&lt;Assumptions!$E$7,0,MIN(1,(AR4-Assumptions!$E$7+1)/Assumptions!$D$29))</f>
        <v>1</v>
      </c>
      <c r="AS10" s="31" t="n">
        <f aca="false">IF(AS4&lt;Assumptions!$E$7,0,MIN(1,(AS4-Assumptions!$E$7+1)/Assumptions!$D$29))</f>
        <v>1</v>
      </c>
      <c r="AT10" s="31" t="n">
        <f aca="false">IF(AT4&lt;Assumptions!$E$7,0,MIN(1,(AT4-Assumptions!$E$7+1)/Assumptions!$D$29))</f>
        <v>1</v>
      </c>
      <c r="AU10" s="31" t="n">
        <f aca="false">IF(AU4&lt;Assumptions!$E$7,0,MIN(1,(AU4-Assumptions!$E$7+1)/Assumptions!$D$29))</f>
        <v>1</v>
      </c>
      <c r="AV10" s="31" t="n">
        <f aca="false">IF(AV4&lt;Assumptions!$E$7,0,MIN(1,(AV4-Assumptions!$E$7+1)/Assumptions!$D$29))</f>
        <v>1</v>
      </c>
      <c r="AW10" s="31" t="n">
        <f aca="false">IF(AW4&lt;Assumptions!$E$7,0,MIN(1,(AW4-Assumptions!$E$7+1)/Assumptions!$D$29))</f>
        <v>1</v>
      </c>
      <c r="AX10" s="31" t="n">
        <f aca="false">IF(AX4&lt;Assumptions!$E$7,0,MIN(1,(AX4-Assumptions!$E$7+1)/Assumptions!$D$29))</f>
        <v>1</v>
      </c>
      <c r="AY10" s="31" t="n">
        <f aca="false">IF(AY4&lt;Assumptions!$E$7,0,MIN(1,(AY4-Assumptions!$E$7+1)/Assumptions!$D$29))</f>
        <v>1</v>
      </c>
      <c r="AZ10" s="31" t="n">
        <f aca="false">IF(AZ4&lt;Assumptions!$E$7,0,MIN(1,(AZ4-Assumptions!$E$7+1)/Assumptions!$D$29))</f>
        <v>1</v>
      </c>
      <c r="BA10" s="31" t="n">
        <f aca="false">IF(BA4&lt;Assumptions!$E$7,0,MIN(1,(BA4-Assumptions!$E$7+1)/Assumptions!$D$29))</f>
        <v>1</v>
      </c>
      <c r="BB10" s="31" t="n">
        <f aca="false">IF(BB4&lt;Assumptions!$E$7,0,MIN(1,(BB4-Assumptions!$E$7+1)/Assumptions!$D$29))</f>
        <v>1</v>
      </c>
      <c r="BC10" s="31" t="n">
        <f aca="false">IF(BC4&lt;Assumptions!$E$7,0,MIN(1,(BC4-Assumptions!$E$7+1)/Assumptions!$D$29))</f>
        <v>1</v>
      </c>
      <c r="BD10" s="31" t="n">
        <f aca="false">IF(BD4&lt;Assumptions!$E$7,0,MIN(1,(BD4-Assumptions!$E$7+1)/Assumptions!$D$29))</f>
        <v>1</v>
      </c>
      <c r="BE10" s="31" t="n">
        <f aca="false">IF(BE4&lt;Assumptions!$E$7,0,MIN(1,(BE4-Assumptions!$E$7+1)/Assumptions!$D$29))</f>
        <v>1</v>
      </c>
      <c r="BF10" s="31" t="n">
        <f aca="false">IF(BF4&lt;Assumptions!$E$7,0,MIN(1,(BF4-Assumptions!$E$7+1)/Assumptions!$D$29))</f>
        <v>1</v>
      </c>
      <c r="BG10" s="31" t="n">
        <f aca="false">IF(BG4&lt;Assumptions!$E$7,0,MIN(1,(BG4-Assumptions!$E$7+1)/Assumptions!$D$29))</f>
        <v>1</v>
      </c>
      <c r="BH10" s="31" t="n">
        <f aca="false">IF(BH4&lt;Assumptions!$E$7,0,MIN(1,(BH4-Assumptions!$E$7+1)/Assumptions!$D$29))</f>
        <v>1</v>
      </c>
      <c r="BI10" s="31" t="n">
        <f aca="false">IF(BI4&lt;Assumptions!$E$7,0,MIN(1,(BI4-Assumptions!$E$7+1)/Assumptions!$D$29))</f>
        <v>1</v>
      </c>
      <c r="BJ10" s="31" t="n">
        <f aca="false">IF(BJ4&lt;Assumptions!$E$7,0,MIN(1,(BJ4-Assumptions!$E$7+1)/Assumptions!$D$29))</f>
        <v>1</v>
      </c>
    </row>
    <row r="11" customFormat="false" ht="15" hidden="false" customHeight="false" outlineLevel="0" collapsed="false">
      <c r="A11" s="5" t="s">
        <v>46</v>
      </c>
      <c r="C11" s="31" t="n">
        <f aca="false">IF(C4&lt;Assumptions!$E$8,0,MIN(1,(C4-Assumptions!$E$8+1)/Assumptions!$D$29))</f>
        <v>0</v>
      </c>
      <c r="D11" s="31" t="n">
        <f aca="false">IF(D4&lt;Assumptions!$E$8,0,MIN(1,(D4-Assumptions!$E$8+1)/Assumptions!$D$29))</f>
        <v>0</v>
      </c>
      <c r="E11" s="31" t="n">
        <f aca="false">IF(E4&lt;Assumptions!$E$8,0,MIN(1,(E4-Assumptions!$E$8+1)/Assumptions!$D$29))</f>
        <v>0</v>
      </c>
      <c r="F11" s="31" t="n">
        <f aca="false">IF(F4&lt;Assumptions!$E$8,0,MIN(1,(F4-Assumptions!$E$8+1)/Assumptions!$D$29))</f>
        <v>0</v>
      </c>
      <c r="G11" s="31" t="n">
        <f aca="false">IF(G4&lt;Assumptions!$E$8,0,MIN(1,(G4-Assumptions!$E$8+1)/Assumptions!$D$29))</f>
        <v>0</v>
      </c>
      <c r="H11" s="31" t="n">
        <f aca="false">IF(H4&lt;Assumptions!$E$8,0,MIN(1,(H4-Assumptions!$E$8+1)/Assumptions!$D$29))</f>
        <v>0</v>
      </c>
      <c r="I11" s="31" t="n">
        <f aca="false">IF(I4&lt;Assumptions!$E$8,0,MIN(1,(I4-Assumptions!$E$8+1)/Assumptions!$D$29))</f>
        <v>0.0833333333333333</v>
      </c>
      <c r="J11" s="31" t="n">
        <f aca="false">IF(J4&lt;Assumptions!$E$8,0,MIN(1,(J4-Assumptions!$E$8+1)/Assumptions!$D$29))</f>
        <v>0.166666666666667</v>
      </c>
      <c r="K11" s="31" t="n">
        <f aca="false">IF(K4&lt;Assumptions!$E$8,0,MIN(1,(K4-Assumptions!$E$8+1)/Assumptions!$D$29))</f>
        <v>0.25</v>
      </c>
      <c r="L11" s="31" t="n">
        <f aca="false">IF(L4&lt;Assumptions!$E$8,0,MIN(1,(L4-Assumptions!$E$8+1)/Assumptions!$D$29))</f>
        <v>0.333333333333333</v>
      </c>
      <c r="M11" s="31" t="n">
        <f aca="false">IF(M4&lt;Assumptions!$E$8,0,MIN(1,(M4-Assumptions!$E$8+1)/Assumptions!$D$29))</f>
        <v>0.416666666666667</v>
      </c>
      <c r="N11" s="31" t="n">
        <f aca="false">IF(N4&lt;Assumptions!$E$8,0,MIN(1,(N4-Assumptions!$E$8+1)/Assumptions!$D$29))</f>
        <v>0.5</v>
      </c>
      <c r="O11" s="31" t="n">
        <f aca="false">IF(O4&lt;Assumptions!$E$8,0,MIN(1,(O4-Assumptions!$E$8+1)/Assumptions!$D$29))</f>
        <v>0.583333333333333</v>
      </c>
      <c r="P11" s="31" t="n">
        <f aca="false">IF(P4&lt;Assumptions!$E$8,0,MIN(1,(P4-Assumptions!$E$8+1)/Assumptions!$D$29))</f>
        <v>0.666666666666667</v>
      </c>
      <c r="Q11" s="31" t="n">
        <f aca="false">IF(Q4&lt;Assumptions!$E$8,0,MIN(1,(Q4-Assumptions!$E$8+1)/Assumptions!$D$29))</f>
        <v>0.75</v>
      </c>
      <c r="R11" s="31" t="n">
        <f aca="false">IF(R4&lt;Assumptions!$E$8,0,MIN(1,(R4-Assumptions!$E$8+1)/Assumptions!$D$29))</f>
        <v>0.833333333333333</v>
      </c>
      <c r="S11" s="31" t="n">
        <f aca="false">IF(S4&lt;Assumptions!$E$8,0,MIN(1,(S4-Assumptions!$E$8+1)/Assumptions!$D$29))</f>
        <v>0.916666666666667</v>
      </c>
      <c r="T11" s="31" t="n">
        <f aca="false">IF(T4&lt;Assumptions!$E$8,0,MIN(1,(T4-Assumptions!$E$8+1)/Assumptions!$D$29))</f>
        <v>1</v>
      </c>
      <c r="U11" s="31" t="n">
        <f aca="false">IF(U4&lt;Assumptions!$E$8,0,MIN(1,(U4-Assumptions!$E$8+1)/Assumptions!$D$29))</f>
        <v>1</v>
      </c>
      <c r="V11" s="31" t="n">
        <f aca="false">IF(V4&lt;Assumptions!$E$8,0,MIN(1,(V4-Assumptions!$E$8+1)/Assumptions!$D$29))</f>
        <v>1</v>
      </c>
      <c r="W11" s="31" t="n">
        <f aca="false">IF(W4&lt;Assumptions!$E$8,0,MIN(1,(W4-Assumptions!$E$8+1)/Assumptions!$D$29))</f>
        <v>1</v>
      </c>
      <c r="X11" s="31" t="n">
        <f aca="false">IF(X4&lt;Assumptions!$E$8,0,MIN(1,(X4-Assumptions!$E$8+1)/Assumptions!$D$29))</f>
        <v>1</v>
      </c>
      <c r="Y11" s="31" t="n">
        <f aca="false">IF(Y4&lt;Assumptions!$E$8,0,MIN(1,(Y4-Assumptions!$E$8+1)/Assumptions!$D$29))</f>
        <v>1</v>
      </c>
      <c r="Z11" s="31" t="n">
        <f aca="false">IF(Z4&lt;Assumptions!$E$8,0,MIN(1,(Z4-Assumptions!$E$8+1)/Assumptions!$D$29))</f>
        <v>1</v>
      </c>
      <c r="AA11" s="31" t="n">
        <f aca="false">IF(AA4&lt;Assumptions!$E$8,0,MIN(1,(AA4-Assumptions!$E$8+1)/Assumptions!$D$29))</f>
        <v>1</v>
      </c>
      <c r="AB11" s="31" t="n">
        <f aca="false">IF(AB4&lt;Assumptions!$E$8,0,MIN(1,(AB4-Assumptions!$E$8+1)/Assumptions!$D$29))</f>
        <v>1</v>
      </c>
      <c r="AC11" s="31" t="n">
        <f aca="false">IF(AC4&lt;Assumptions!$E$8,0,MIN(1,(AC4-Assumptions!$E$8+1)/Assumptions!$D$29))</f>
        <v>1</v>
      </c>
      <c r="AD11" s="31" t="n">
        <f aca="false">IF(AD4&lt;Assumptions!$E$8,0,MIN(1,(AD4-Assumptions!$E$8+1)/Assumptions!$D$29))</f>
        <v>1</v>
      </c>
      <c r="AE11" s="31" t="n">
        <f aca="false">IF(AE4&lt;Assumptions!$E$8,0,MIN(1,(AE4-Assumptions!$E$8+1)/Assumptions!$D$29))</f>
        <v>1</v>
      </c>
      <c r="AF11" s="31" t="n">
        <f aca="false">IF(AF4&lt;Assumptions!$E$8,0,MIN(1,(AF4-Assumptions!$E$8+1)/Assumptions!$D$29))</f>
        <v>1</v>
      </c>
      <c r="AG11" s="31" t="n">
        <f aca="false">IF(AG4&lt;Assumptions!$E$8,0,MIN(1,(AG4-Assumptions!$E$8+1)/Assumptions!$D$29))</f>
        <v>1</v>
      </c>
      <c r="AH11" s="31" t="n">
        <f aca="false">IF(AH4&lt;Assumptions!$E$8,0,MIN(1,(AH4-Assumptions!$E$8+1)/Assumptions!$D$29))</f>
        <v>1</v>
      </c>
      <c r="AI11" s="31" t="n">
        <f aca="false">IF(AI4&lt;Assumptions!$E$8,0,MIN(1,(AI4-Assumptions!$E$8+1)/Assumptions!$D$29))</f>
        <v>1</v>
      </c>
      <c r="AJ11" s="31" t="n">
        <f aca="false">IF(AJ4&lt;Assumptions!$E$8,0,MIN(1,(AJ4-Assumptions!$E$8+1)/Assumptions!$D$29))</f>
        <v>1</v>
      </c>
      <c r="AK11" s="31" t="n">
        <f aca="false">IF(AK4&lt;Assumptions!$E$8,0,MIN(1,(AK4-Assumptions!$E$8+1)/Assumptions!$D$29))</f>
        <v>1</v>
      </c>
      <c r="AL11" s="31" t="n">
        <f aca="false">IF(AL4&lt;Assumptions!$E$8,0,MIN(1,(AL4-Assumptions!$E$8+1)/Assumptions!$D$29))</f>
        <v>1</v>
      </c>
      <c r="AM11" s="31" t="n">
        <f aca="false">IF(AM4&lt;Assumptions!$E$8,0,MIN(1,(AM4-Assumptions!$E$8+1)/Assumptions!$D$29))</f>
        <v>1</v>
      </c>
      <c r="AN11" s="31" t="n">
        <f aca="false">IF(AN4&lt;Assumptions!$E$8,0,MIN(1,(AN4-Assumptions!$E$8+1)/Assumptions!$D$29))</f>
        <v>1</v>
      </c>
      <c r="AO11" s="31" t="n">
        <f aca="false">IF(AO4&lt;Assumptions!$E$8,0,MIN(1,(AO4-Assumptions!$E$8+1)/Assumptions!$D$29))</f>
        <v>1</v>
      </c>
      <c r="AP11" s="31" t="n">
        <f aca="false">IF(AP4&lt;Assumptions!$E$8,0,MIN(1,(AP4-Assumptions!$E$8+1)/Assumptions!$D$29))</f>
        <v>1</v>
      </c>
      <c r="AQ11" s="31" t="n">
        <f aca="false">IF(AQ4&lt;Assumptions!$E$8,0,MIN(1,(AQ4-Assumptions!$E$8+1)/Assumptions!$D$29))</f>
        <v>1</v>
      </c>
      <c r="AR11" s="31" t="n">
        <f aca="false">IF(AR4&lt;Assumptions!$E$8,0,MIN(1,(AR4-Assumptions!$E$8+1)/Assumptions!$D$29))</f>
        <v>1</v>
      </c>
      <c r="AS11" s="31" t="n">
        <f aca="false">IF(AS4&lt;Assumptions!$E$8,0,MIN(1,(AS4-Assumptions!$E$8+1)/Assumptions!$D$29))</f>
        <v>1</v>
      </c>
      <c r="AT11" s="31" t="n">
        <f aca="false">IF(AT4&lt;Assumptions!$E$8,0,MIN(1,(AT4-Assumptions!$E$8+1)/Assumptions!$D$29))</f>
        <v>1</v>
      </c>
      <c r="AU11" s="31" t="n">
        <f aca="false">IF(AU4&lt;Assumptions!$E$8,0,MIN(1,(AU4-Assumptions!$E$8+1)/Assumptions!$D$29))</f>
        <v>1</v>
      </c>
      <c r="AV11" s="31" t="n">
        <f aca="false">IF(AV4&lt;Assumptions!$E$8,0,MIN(1,(AV4-Assumptions!$E$8+1)/Assumptions!$D$29))</f>
        <v>1</v>
      </c>
      <c r="AW11" s="31" t="n">
        <f aca="false">IF(AW4&lt;Assumptions!$E$8,0,MIN(1,(AW4-Assumptions!$E$8+1)/Assumptions!$D$29))</f>
        <v>1</v>
      </c>
      <c r="AX11" s="31" t="n">
        <f aca="false">IF(AX4&lt;Assumptions!$E$8,0,MIN(1,(AX4-Assumptions!$E$8+1)/Assumptions!$D$29))</f>
        <v>1</v>
      </c>
      <c r="AY11" s="31" t="n">
        <f aca="false">IF(AY4&lt;Assumptions!$E$8,0,MIN(1,(AY4-Assumptions!$E$8+1)/Assumptions!$D$29))</f>
        <v>1</v>
      </c>
      <c r="AZ11" s="31" t="n">
        <f aca="false">IF(AZ4&lt;Assumptions!$E$8,0,MIN(1,(AZ4-Assumptions!$E$8+1)/Assumptions!$D$29))</f>
        <v>1</v>
      </c>
      <c r="BA11" s="31" t="n">
        <f aca="false">IF(BA4&lt;Assumptions!$E$8,0,MIN(1,(BA4-Assumptions!$E$8+1)/Assumptions!$D$29))</f>
        <v>1</v>
      </c>
      <c r="BB11" s="31" t="n">
        <f aca="false">IF(BB4&lt;Assumptions!$E$8,0,MIN(1,(BB4-Assumptions!$E$8+1)/Assumptions!$D$29))</f>
        <v>1</v>
      </c>
      <c r="BC11" s="31" t="n">
        <f aca="false">IF(BC4&lt;Assumptions!$E$8,0,MIN(1,(BC4-Assumptions!$E$8+1)/Assumptions!$D$29))</f>
        <v>1</v>
      </c>
      <c r="BD11" s="31" t="n">
        <f aca="false">IF(BD4&lt;Assumptions!$E$8,0,MIN(1,(BD4-Assumptions!$E$8+1)/Assumptions!$D$29))</f>
        <v>1</v>
      </c>
      <c r="BE11" s="31" t="n">
        <f aca="false">IF(BE4&lt;Assumptions!$E$8,0,MIN(1,(BE4-Assumptions!$E$8+1)/Assumptions!$D$29))</f>
        <v>1</v>
      </c>
      <c r="BF11" s="31" t="n">
        <f aca="false">IF(BF4&lt;Assumptions!$E$8,0,MIN(1,(BF4-Assumptions!$E$8+1)/Assumptions!$D$29))</f>
        <v>1</v>
      </c>
      <c r="BG11" s="31" t="n">
        <f aca="false">IF(BG4&lt;Assumptions!$E$8,0,MIN(1,(BG4-Assumptions!$E$8+1)/Assumptions!$D$29))</f>
        <v>1</v>
      </c>
      <c r="BH11" s="31" t="n">
        <f aca="false">IF(BH4&lt;Assumptions!$E$8,0,MIN(1,(BH4-Assumptions!$E$8+1)/Assumptions!$D$29))</f>
        <v>1</v>
      </c>
      <c r="BI11" s="31" t="n">
        <f aca="false">IF(BI4&lt;Assumptions!$E$8,0,MIN(1,(BI4-Assumptions!$E$8+1)/Assumptions!$D$29))</f>
        <v>1</v>
      </c>
      <c r="BJ11" s="31" t="n">
        <f aca="false">IF(BJ4&lt;Assumptions!$E$8,0,MIN(1,(BJ4-Assumptions!$E$8+1)/Assumptions!$D$29))</f>
        <v>1</v>
      </c>
    </row>
    <row r="12" customFormat="false" ht="15" hidden="false" customHeight="false" outlineLevel="0" collapsed="false">
      <c r="A12" s="5" t="s">
        <v>48</v>
      </c>
      <c r="C12" s="31" t="n">
        <f aca="false">IF(C4&lt;Assumptions!$E$9,0,MIN(1,(C4-Assumptions!$E$9+1)/Assumptions!$D$29))</f>
        <v>0</v>
      </c>
      <c r="D12" s="31" t="n">
        <f aca="false">IF(D4&lt;Assumptions!$E$9,0,MIN(1,(D4-Assumptions!$E$9+1)/Assumptions!$D$29))</f>
        <v>0</v>
      </c>
      <c r="E12" s="31" t="n">
        <f aca="false">IF(E4&lt;Assumptions!$E$9,0,MIN(1,(E4-Assumptions!$E$9+1)/Assumptions!$D$29))</f>
        <v>0</v>
      </c>
      <c r="F12" s="31" t="n">
        <f aca="false">IF(F4&lt;Assumptions!$E$9,0,MIN(1,(F4-Assumptions!$E$9+1)/Assumptions!$D$29))</f>
        <v>0</v>
      </c>
      <c r="G12" s="31" t="n">
        <f aca="false">IF(G4&lt;Assumptions!$E$9,0,MIN(1,(G4-Assumptions!$E$9+1)/Assumptions!$D$29))</f>
        <v>0</v>
      </c>
      <c r="H12" s="31" t="n">
        <f aca="false">IF(H4&lt;Assumptions!$E$9,0,MIN(1,(H4-Assumptions!$E$9+1)/Assumptions!$D$29))</f>
        <v>0</v>
      </c>
      <c r="I12" s="31" t="n">
        <f aca="false">IF(I4&lt;Assumptions!$E$9,0,MIN(1,(I4-Assumptions!$E$9+1)/Assumptions!$D$29))</f>
        <v>0</v>
      </c>
      <c r="J12" s="31" t="n">
        <f aca="false">IF(J4&lt;Assumptions!$E$9,0,MIN(1,(J4-Assumptions!$E$9+1)/Assumptions!$D$29))</f>
        <v>0</v>
      </c>
      <c r="K12" s="31" t="n">
        <f aca="false">IF(K4&lt;Assumptions!$E$9,0,MIN(1,(K4-Assumptions!$E$9+1)/Assumptions!$D$29))</f>
        <v>0</v>
      </c>
      <c r="L12" s="31" t="n">
        <f aca="false">IF(L4&lt;Assumptions!$E$9,0,MIN(1,(L4-Assumptions!$E$9+1)/Assumptions!$D$29))</f>
        <v>0</v>
      </c>
      <c r="M12" s="31" t="n">
        <f aca="false">IF(M4&lt;Assumptions!$E$9,0,MIN(1,(M4-Assumptions!$E$9+1)/Assumptions!$D$29))</f>
        <v>0</v>
      </c>
      <c r="N12" s="31" t="n">
        <f aca="false">IF(N4&lt;Assumptions!$E$9,0,MIN(1,(N4-Assumptions!$E$9+1)/Assumptions!$D$29))</f>
        <v>0</v>
      </c>
      <c r="O12" s="31" t="n">
        <f aca="false">IF(O4&lt;Assumptions!$E$9,0,MIN(1,(O4-Assumptions!$E$9+1)/Assumptions!$D$29))</f>
        <v>0</v>
      </c>
      <c r="P12" s="31" t="n">
        <f aca="false">IF(P4&lt;Assumptions!$E$9,0,MIN(1,(P4-Assumptions!$E$9+1)/Assumptions!$D$29))</f>
        <v>0</v>
      </c>
      <c r="Q12" s="31" t="n">
        <f aca="false">IF(Q4&lt;Assumptions!$E$9,0,MIN(1,(Q4-Assumptions!$E$9+1)/Assumptions!$D$29))</f>
        <v>0</v>
      </c>
      <c r="R12" s="31" t="n">
        <f aca="false">IF(R4&lt;Assumptions!$E$9,0,MIN(1,(R4-Assumptions!$E$9+1)/Assumptions!$D$29))</f>
        <v>0</v>
      </c>
      <c r="S12" s="31" t="n">
        <f aca="false">IF(S4&lt;Assumptions!$E$9,0,MIN(1,(S4-Assumptions!$E$9+1)/Assumptions!$D$29))</f>
        <v>0</v>
      </c>
      <c r="T12" s="31" t="n">
        <f aca="false">IF(T4&lt;Assumptions!$E$9,0,MIN(1,(T4-Assumptions!$E$9+1)/Assumptions!$D$29))</f>
        <v>0</v>
      </c>
      <c r="U12" s="31" t="n">
        <f aca="false">IF(U4&lt;Assumptions!$E$9,0,MIN(1,(U4-Assumptions!$E$9+1)/Assumptions!$D$29))</f>
        <v>0.0833333333333333</v>
      </c>
      <c r="V12" s="31" t="n">
        <f aca="false">IF(V4&lt;Assumptions!$E$9,0,MIN(1,(V4-Assumptions!$E$9+1)/Assumptions!$D$29))</f>
        <v>0.166666666666667</v>
      </c>
      <c r="W12" s="31" t="n">
        <f aca="false">IF(W4&lt;Assumptions!$E$9,0,MIN(1,(W4-Assumptions!$E$9+1)/Assumptions!$D$29))</f>
        <v>0.25</v>
      </c>
      <c r="X12" s="31" t="n">
        <f aca="false">IF(X4&lt;Assumptions!$E$9,0,MIN(1,(X4-Assumptions!$E$9+1)/Assumptions!$D$29))</f>
        <v>0.333333333333333</v>
      </c>
      <c r="Y12" s="31" t="n">
        <f aca="false">IF(Y4&lt;Assumptions!$E$9,0,MIN(1,(Y4-Assumptions!$E$9+1)/Assumptions!$D$29))</f>
        <v>0.416666666666667</v>
      </c>
      <c r="Z12" s="31" t="n">
        <f aca="false">IF(Z4&lt;Assumptions!$E$9,0,MIN(1,(Z4-Assumptions!$E$9+1)/Assumptions!$D$29))</f>
        <v>0.5</v>
      </c>
      <c r="AA12" s="31" t="n">
        <f aca="false">IF(AA4&lt;Assumptions!$E$9,0,MIN(1,(AA4-Assumptions!$E$9+1)/Assumptions!$D$29))</f>
        <v>0.583333333333333</v>
      </c>
      <c r="AB12" s="31" t="n">
        <f aca="false">IF(AB4&lt;Assumptions!$E$9,0,MIN(1,(AB4-Assumptions!$E$9+1)/Assumptions!$D$29))</f>
        <v>0.666666666666667</v>
      </c>
      <c r="AC12" s="31" t="n">
        <f aca="false">IF(AC4&lt;Assumptions!$E$9,0,MIN(1,(AC4-Assumptions!$E$9+1)/Assumptions!$D$29))</f>
        <v>0.75</v>
      </c>
      <c r="AD12" s="31" t="n">
        <f aca="false">IF(AD4&lt;Assumptions!$E$9,0,MIN(1,(AD4-Assumptions!$E$9+1)/Assumptions!$D$29))</f>
        <v>0.833333333333333</v>
      </c>
      <c r="AE12" s="31" t="n">
        <f aca="false">IF(AE4&lt;Assumptions!$E$9,0,MIN(1,(AE4-Assumptions!$E$9+1)/Assumptions!$D$29))</f>
        <v>0.916666666666667</v>
      </c>
      <c r="AF12" s="31" t="n">
        <f aca="false">IF(AF4&lt;Assumptions!$E$9,0,MIN(1,(AF4-Assumptions!$E$9+1)/Assumptions!$D$29))</f>
        <v>1</v>
      </c>
      <c r="AG12" s="31" t="n">
        <f aca="false">IF(AG4&lt;Assumptions!$E$9,0,MIN(1,(AG4-Assumptions!$E$9+1)/Assumptions!$D$29))</f>
        <v>1</v>
      </c>
      <c r="AH12" s="31" t="n">
        <f aca="false">IF(AH4&lt;Assumptions!$E$9,0,MIN(1,(AH4-Assumptions!$E$9+1)/Assumptions!$D$29))</f>
        <v>1</v>
      </c>
      <c r="AI12" s="31" t="n">
        <f aca="false">IF(AI4&lt;Assumptions!$E$9,0,MIN(1,(AI4-Assumptions!$E$9+1)/Assumptions!$D$29))</f>
        <v>1</v>
      </c>
      <c r="AJ12" s="31" t="n">
        <f aca="false">IF(AJ4&lt;Assumptions!$E$9,0,MIN(1,(AJ4-Assumptions!$E$9+1)/Assumptions!$D$29))</f>
        <v>1</v>
      </c>
      <c r="AK12" s="31" t="n">
        <f aca="false">IF(AK4&lt;Assumptions!$E$9,0,MIN(1,(AK4-Assumptions!$E$9+1)/Assumptions!$D$29))</f>
        <v>1</v>
      </c>
      <c r="AL12" s="31" t="n">
        <f aca="false">IF(AL4&lt;Assumptions!$E$9,0,MIN(1,(AL4-Assumptions!$E$9+1)/Assumptions!$D$29))</f>
        <v>1</v>
      </c>
      <c r="AM12" s="31" t="n">
        <f aca="false">IF(AM4&lt;Assumptions!$E$9,0,MIN(1,(AM4-Assumptions!$E$9+1)/Assumptions!$D$29))</f>
        <v>1</v>
      </c>
      <c r="AN12" s="31" t="n">
        <f aca="false">IF(AN4&lt;Assumptions!$E$9,0,MIN(1,(AN4-Assumptions!$E$9+1)/Assumptions!$D$29))</f>
        <v>1</v>
      </c>
      <c r="AO12" s="31" t="n">
        <f aca="false">IF(AO4&lt;Assumptions!$E$9,0,MIN(1,(AO4-Assumptions!$E$9+1)/Assumptions!$D$29))</f>
        <v>1</v>
      </c>
      <c r="AP12" s="31" t="n">
        <f aca="false">IF(AP4&lt;Assumptions!$E$9,0,MIN(1,(AP4-Assumptions!$E$9+1)/Assumptions!$D$29))</f>
        <v>1</v>
      </c>
      <c r="AQ12" s="31" t="n">
        <f aca="false">IF(AQ4&lt;Assumptions!$E$9,0,MIN(1,(AQ4-Assumptions!$E$9+1)/Assumptions!$D$29))</f>
        <v>1</v>
      </c>
      <c r="AR12" s="31" t="n">
        <f aca="false">IF(AR4&lt;Assumptions!$E$9,0,MIN(1,(AR4-Assumptions!$E$9+1)/Assumptions!$D$29))</f>
        <v>1</v>
      </c>
      <c r="AS12" s="31" t="n">
        <f aca="false">IF(AS4&lt;Assumptions!$E$9,0,MIN(1,(AS4-Assumptions!$E$9+1)/Assumptions!$D$29))</f>
        <v>1</v>
      </c>
      <c r="AT12" s="31" t="n">
        <f aca="false">IF(AT4&lt;Assumptions!$E$9,0,MIN(1,(AT4-Assumptions!$E$9+1)/Assumptions!$D$29))</f>
        <v>1</v>
      </c>
      <c r="AU12" s="31" t="n">
        <f aca="false">IF(AU4&lt;Assumptions!$E$9,0,MIN(1,(AU4-Assumptions!$E$9+1)/Assumptions!$D$29))</f>
        <v>1</v>
      </c>
      <c r="AV12" s="31" t="n">
        <f aca="false">IF(AV4&lt;Assumptions!$E$9,0,MIN(1,(AV4-Assumptions!$E$9+1)/Assumptions!$D$29))</f>
        <v>1</v>
      </c>
      <c r="AW12" s="31" t="n">
        <f aca="false">IF(AW4&lt;Assumptions!$E$9,0,MIN(1,(AW4-Assumptions!$E$9+1)/Assumptions!$D$29))</f>
        <v>1</v>
      </c>
      <c r="AX12" s="31" t="n">
        <f aca="false">IF(AX4&lt;Assumptions!$E$9,0,MIN(1,(AX4-Assumptions!$E$9+1)/Assumptions!$D$29))</f>
        <v>1</v>
      </c>
      <c r="AY12" s="31" t="n">
        <f aca="false">IF(AY4&lt;Assumptions!$E$9,0,MIN(1,(AY4-Assumptions!$E$9+1)/Assumptions!$D$29))</f>
        <v>1</v>
      </c>
      <c r="AZ12" s="31" t="n">
        <f aca="false">IF(AZ4&lt;Assumptions!$E$9,0,MIN(1,(AZ4-Assumptions!$E$9+1)/Assumptions!$D$29))</f>
        <v>1</v>
      </c>
      <c r="BA12" s="31" t="n">
        <f aca="false">IF(BA4&lt;Assumptions!$E$9,0,MIN(1,(BA4-Assumptions!$E$9+1)/Assumptions!$D$29))</f>
        <v>1</v>
      </c>
      <c r="BB12" s="31" t="n">
        <f aca="false">IF(BB4&lt;Assumptions!$E$9,0,MIN(1,(BB4-Assumptions!$E$9+1)/Assumptions!$D$29))</f>
        <v>1</v>
      </c>
      <c r="BC12" s="31" t="n">
        <f aca="false">IF(BC4&lt;Assumptions!$E$9,0,MIN(1,(BC4-Assumptions!$E$9+1)/Assumptions!$D$29))</f>
        <v>1</v>
      </c>
      <c r="BD12" s="31" t="n">
        <f aca="false">IF(BD4&lt;Assumptions!$E$9,0,MIN(1,(BD4-Assumptions!$E$9+1)/Assumptions!$D$29))</f>
        <v>1</v>
      </c>
      <c r="BE12" s="31" t="n">
        <f aca="false">IF(BE4&lt;Assumptions!$E$9,0,MIN(1,(BE4-Assumptions!$E$9+1)/Assumptions!$D$29))</f>
        <v>1</v>
      </c>
      <c r="BF12" s="31" t="n">
        <f aca="false">IF(BF4&lt;Assumptions!$E$9,0,MIN(1,(BF4-Assumptions!$E$9+1)/Assumptions!$D$29))</f>
        <v>1</v>
      </c>
      <c r="BG12" s="31" t="n">
        <f aca="false">IF(BG4&lt;Assumptions!$E$9,0,MIN(1,(BG4-Assumptions!$E$9+1)/Assumptions!$D$29))</f>
        <v>1</v>
      </c>
      <c r="BH12" s="31" t="n">
        <f aca="false">IF(BH4&lt;Assumptions!$E$9,0,MIN(1,(BH4-Assumptions!$E$9+1)/Assumptions!$D$29))</f>
        <v>1</v>
      </c>
      <c r="BI12" s="31" t="n">
        <f aca="false">IF(BI4&lt;Assumptions!$E$9,0,MIN(1,(BI4-Assumptions!$E$9+1)/Assumptions!$D$29))</f>
        <v>1</v>
      </c>
      <c r="BJ12" s="31" t="n">
        <f aca="false">IF(BJ4&lt;Assumptions!$E$9,0,MIN(1,(BJ4-Assumptions!$E$9+1)/Assumptions!$D$29))</f>
        <v>1</v>
      </c>
    </row>
    <row r="13" customFormat="false" ht="15" hidden="false" customHeight="false" outlineLevel="0" collapsed="false">
      <c r="A13" s="5" t="s">
        <v>50</v>
      </c>
      <c r="C13" s="31" t="n">
        <f aca="false">IF(C4&lt;Assumptions!$E$10,0,MIN(1,(C4-Assumptions!$E$10+1)/Assumptions!$D$29))</f>
        <v>0</v>
      </c>
      <c r="D13" s="31" t="n">
        <f aca="false">IF(D4&lt;Assumptions!$E$10,0,MIN(1,(D4-Assumptions!$E$10+1)/Assumptions!$D$29))</f>
        <v>0</v>
      </c>
      <c r="E13" s="31" t="n">
        <f aca="false">IF(E4&lt;Assumptions!$E$10,0,MIN(1,(E4-Assumptions!$E$10+1)/Assumptions!$D$29))</f>
        <v>0</v>
      </c>
      <c r="F13" s="31" t="n">
        <f aca="false">IF(F4&lt;Assumptions!$E$10,0,MIN(1,(F4-Assumptions!$E$10+1)/Assumptions!$D$29))</f>
        <v>0</v>
      </c>
      <c r="G13" s="31" t="n">
        <f aca="false">IF(G4&lt;Assumptions!$E$10,0,MIN(1,(G4-Assumptions!$E$10+1)/Assumptions!$D$29))</f>
        <v>0</v>
      </c>
      <c r="H13" s="31" t="n">
        <f aca="false">IF(H4&lt;Assumptions!$E$10,0,MIN(1,(H4-Assumptions!$E$10+1)/Assumptions!$D$29))</f>
        <v>0</v>
      </c>
      <c r="I13" s="31" t="n">
        <f aca="false">IF(I4&lt;Assumptions!$E$10,0,MIN(1,(I4-Assumptions!$E$10+1)/Assumptions!$D$29))</f>
        <v>0</v>
      </c>
      <c r="J13" s="31" t="n">
        <f aca="false">IF(J4&lt;Assumptions!$E$10,0,MIN(1,(J4-Assumptions!$E$10+1)/Assumptions!$D$29))</f>
        <v>0</v>
      </c>
      <c r="K13" s="31" t="n">
        <f aca="false">IF(K4&lt;Assumptions!$E$10,0,MIN(1,(K4-Assumptions!$E$10+1)/Assumptions!$D$29))</f>
        <v>0</v>
      </c>
      <c r="L13" s="31" t="n">
        <f aca="false">IF(L4&lt;Assumptions!$E$10,0,MIN(1,(L4-Assumptions!$E$10+1)/Assumptions!$D$29))</f>
        <v>0</v>
      </c>
      <c r="M13" s="31" t="n">
        <f aca="false">IF(M4&lt;Assumptions!$E$10,0,MIN(1,(M4-Assumptions!$E$10+1)/Assumptions!$D$29))</f>
        <v>0</v>
      </c>
      <c r="N13" s="31" t="n">
        <f aca="false">IF(N4&lt;Assumptions!$E$10,0,MIN(1,(N4-Assumptions!$E$10+1)/Assumptions!$D$29))</f>
        <v>0</v>
      </c>
      <c r="O13" s="31" t="n">
        <f aca="false">IF(O4&lt;Assumptions!$E$10,0,MIN(1,(O4-Assumptions!$E$10+1)/Assumptions!$D$29))</f>
        <v>0</v>
      </c>
      <c r="P13" s="31" t="n">
        <f aca="false">IF(P4&lt;Assumptions!$E$10,0,MIN(1,(P4-Assumptions!$E$10+1)/Assumptions!$D$29))</f>
        <v>0</v>
      </c>
      <c r="Q13" s="31" t="n">
        <f aca="false">IF(Q4&lt;Assumptions!$E$10,0,MIN(1,(Q4-Assumptions!$E$10+1)/Assumptions!$D$29))</f>
        <v>0</v>
      </c>
      <c r="R13" s="31" t="n">
        <f aca="false">IF(R4&lt;Assumptions!$E$10,0,MIN(1,(R4-Assumptions!$E$10+1)/Assumptions!$D$29))</f>
        <v>0</v>
      </c>
      <c r="S13" s="31" t="n">
        <f aca="false">IF(S4&lt;Assumptions!$E$10,0,MIN(1,(S4-Assumptions!$E$10+1)/Assumptions!$D$29))</f>
        <v>0</v>
      </c>
      <c r="T13" s="31" t="n">
        <f aca="false">IF(T4&lt;Assumptions!$E$10,0,MIN(1,(T4-Assumptions!$E$10+1)/Assumptions!$D$29))</f>
        <v>0</v>
      </c>
      <c r="U13" s="31" t="n">
        <f aca="false">IF(U4&lt;Assumptions!$E$10,0,MIN(1,(U4-Assumptions!$E$10+1)/Assumptions!$D$29))</f>
        <v>0.0833333333333333</v>
      </c>
      <c r="V13" s="31" t="n">
        <f aca="false">IF(V4&lt;Assumptions!$E$10,0,MIN(1,(V4-Assumptions!$E$10+1)/Assumptions!$D$29))</f>
        <v>0.166666666666667</v>
      </c>
      <c r="W13" s="31" t="n">
        <f aca="false">IF(W4&lt;Assumptions!$E$10,0,MIN(1,(W4-Assumptions!$E$10+1)/Assumptions!$D$29))</f>
        <v>0.25</v>
      </c>
      <c r="X13" s="31" t="n">
        <f aca="false">IF(X4&lt;Assumptions!$E$10,0,MIN(1,(X4-Assumptions!$E$10+1)/Assumptions!$D$29))</f>
        <v>0.333333333333333</v>
      </c>
      <c r="Y13" s="31" t="n">
        <f aca="false">IF(Y4&lt;Assumptions!$E$10,0,MIN(1,(Y4-Assumptions!$E$10+1)/Assumptions!$D$29))</f>
        <v>0.416666666666667</v>
      </c>
      <c r="Z13" s="31" t="n">
        <f aca="false">IF(Z4&lt;Assumptions!$E$10,0,MIN(1,(Z4-Assumptions!$E$10+1)/Assumptions!$D$29))</f>
        <v>0.5</v>
      </c>
      <c r="AA13" s="31" t="n">
        <f aca="false">IF(AA4&lt;Assumptions!$E$10,0,MIN(1,(AA4-Assumptions!$E$10+1)/Assumptions!$D$29))</f>
        <v>0.583333333333333</v>
      </c>
      <c r="AB13" s="31" t="n">
        <f aca="false">IF(AB4&lt;Assumptions!$E$10,0,MIN(1,(AB4-Assumptions!$E$10+1)/Assumptions!$D$29))</f>
        <v>0.666666666666667</v>
      </c>
      <c r="AC13" s="31" t="n">
        <f aca="false">IF(AC4&lt;Assumptions!$E$10,0,MIN(1,(AC4-Assumptions!$E$10+1)/Assumptions!$D$29))</f>
        <v>0.75</v>
      </c>
      <c r="AD13" s="31" t="n">
        <f aca="false">IF(AD4&lt;Assumptions!$E$10,0,MIN(1,(AD4-Assumptions!$E$10+1)/Assumptions!$D$29))</f>
        <v>0.833333333333333</v>
      </c>
      <c r="AE13" s="31" t="n">
        <f aca="false">IF(AE4&lt;Assumptions!$E$10,0,MIN(1,(AE4-Assumptions!$E$10+1)/Assumptions!$D$29))</f>
        <v>0.916666666666667</v>
      </c>
      <c r="AF13" s="31" t="n">
        <f aca="false">IF(AF4&lt;Assumptions!$E$10,0,MIN(1,(AF4-Assumptions!$E$10+1)/Assumptions!$D$29))</f>
        <v>1</v>
      </c>
      <c r="AG13" s="31" t="n">
        <f aca="false">IF(AG4&lt;Assumptions!$E$10,0,MIN(1,(AG4-Assumptions!$E$10+1)/Assumptions!$D$29))</f>
        <v>1</v>
      </c>
      <c r="AH13" s="31" t="n">
        <f aca="false">IF(AH4&lt;Assumptions!$E$10,0,MIN(1,(AH4-Assumptions!$E$10+1)/Assumptions!$D$29))</f>
        <v>1</v>
      </c>
      <c r="AI13" s="31" t="n">
        <f aca="false">IF(AI4&lt;Assumptions!$E$10,0,MIN(1,(AI4-Assumptions!$E$10+1)/Assumptions!$D$29))</f>
        <v>1</v>
      </c>
      <c r="AJ13" s="31" t="n">
        <f aca="false">IF(AJ4&lt;Assumptions!$E$10,0,MIN(1,(AJ4-Assumptions!$E$10+1)/Assumptions!$D$29))</f>
        <v>1</v>
      </c>
      <c r="AK13" s="31" t="n">
        <f aca="false">IF(AK4&lt;Assumptions!$E$10,0,MIN(1,(AK4-Assumptions!$E$10+1)/Assumptions!$D$29))</f>
        <v>1</v>
      </c>
      <c r="AL13" s="31" t="n">
        <f aca="false">IF(AL4&lt;Assumptions!$E$10,0,MIN(1,(AL4-Assumptions!$E$10+1)/Assumptions!$D$29))</f>
        <v>1</v>
      </c>
      <c r="AM13" s="31" t="n">
        <f aca="false">IF(AM4&lt;Assumptions!$E$10,0,MIN(1,(AM4-Assumptions!$E$10+1)/Assumptions!$D$29))</f>
        <v>1</v>
      </c>
      <c r="AN13" s="31" t="n">
        <f aca="false">IF(AN4&lt;Assumptions!$E$10,0,MIN(1,(AN4-Assumptions!$E$10+1)/Assumptions!$D$29))</f>
        <v>1</v>
      </c>
      <c r="AO13" s="31" t="n">
        <f aca="false">IF(AO4&lt;Assumptions!$E$10,0,MIN(1,(AO4-Assumptions!$E$10+1)/Assumptions!$D$29))</f>
        <v>1</v>
      </c>
      <c r="AP13" s="31" t="n">
        <f aca="false">IF(AP4&lt;Assumptions!$E$10,0,MIN(1,(AP4-Assumptions!$E$10+1)/Assumptions!$D$29))</f>
        <v>1</v>
      </c>
      <c r="AQ13" s="31" t="n">
        <f aca="false">IF(AQ4&lt;Assumptions!$E$10,0,MIN(1,(AQ4-Assumptions!$E$10+1)/Assumptions!$D$29))</f>
        <v>1</v>
      </c>
      <c r="AR13" s="31" t="n">
        <f aca="false">IF(AR4&lt;Assumptions!$E$10,0,MIN(1,(AR4-Assumptions!$E$10+1)/Assumptions!$D$29))</f>
        <v>1</v>
      </c>
      <c r="AS13" s="31" t="n">
        <f aca="false">IF(AS4&lt;Assumptions!$E$10,0,MIN(1,(AS4-Assumptions!$E$10+1)/Assumptions!$D$29))</f>
        <v>1</v>
      </c>
      <c r="AT13" s="31" t="n">
        <f aca="false">IF(AT4&lt;Assumptions!$E$10,0,MIN(1,(AT4-Assumptions!$E$10+1)/Assumptions!$D$29))</f>
        <v>1</v>
      </c>
      <c r="AU13" s="31" t="n">
        <f aca="false">IF(AU4&lt;Assumptions!$E$10,0,MIN(1,(AU4-Assumptions!$E$10+1)/Assumptions!$D$29))</f>
        <v>1</v>
      </c>
      <c r="AV13" s="31" t="n">
        <f aca="false">IF(AV4&lt;Assumptions!$E$10,0,MIN(1,(AV4-Assumptions!$E$10+1)/Assumptions!$D$29))</f>
        <v>1</v>
      </c>
      <c r="AW13" s="31" t="n">
        <f aca="false">IF(AW4&lt;Assumptions!$E$10,0,MIN(1,(AW4-Assumptions!$E$10+1)/Assumptions!$D$29))</f>
        <v>1</v>
      </c>
      <c r="AX13" s="31" t="n">
        <f aca="false">IF(AX4&lt;Assumptions!$E$10,0,MIN(1,(AX4-Assumptions!$E$10+1)/Assumptions!$D$29))</f>
        <v>1</v>
      </c>
      <c r="AY13" s="31" t="n">
        <f aca="false">IF(AY4&lt;Assumptions!$E$10,0,MIN(1,(AY4-Assumptions!$E$10+1)/Assumptions!$D$29))</f>
        <v>1</v>
      </c>
      <c r="AZ13" s="31" t="n">
        <f aca="false">IF(AZ4&lt;Assumptions!$E$10,0,MIN(1,(AZ4-Assumptions!$E$10+1)/Assumptions!$D$29))</f>
        <v>1</v>
      </c>
      <c r="BA13" s="31" t="n">
        <f aca="false">IF(BA4&lt;Assumptions!$E$10,0,MIN(1,(BA4-Assumptions!$E$10+1)/Assumptions!$D$29))</f>
        <v>1</v>
      </c>
      <c r="BB13" s="31" t="n">
        <f aca="false">IF(BB4&lt;Assumptions!$E$10,0,MIN(1,(BB4-Assumptions!$E$10+1)/Assumptions!$D$29))</f>
        <v>1</v>
      </c>
      <c r="BC13" s="31" t="n">
        <f aca="false">IF(BC4&lt;Assumptions!$E$10,0,MIN(1,(BC4-Assumptions!$E$10+1)/Assumptions!$D$29))</f>
        <v>1</v>
      </c>
      <c r="BD13" s="31" t="n">
        <f aca="false">IF(BD4&lt;Assumptions!$E$10,0,MIN(1,(BD4-Assumptions!$E$10+1)/Assumptions!$D$29))</f>
        <v>1</v>
      </c>
      <c r="BE13" s="31" t="n">
        <f aca="false">IF(BE4&lt;Assumptions!$E$10,0,MIN(1,(BE4-Assumptions!$E$10+1)/Assumptions!$D$29))</f>
        <v>1</v>
      </c>
      <c r="BF13" s="31" t="n">
        <f aca="false">IF(BF4&lt;Assumptions!$E$10,0,MIN(1,(BF4-Assumptions!$E$10+1)/Assumptions!$D$29))</f>
        <v>1</v>
      </c>
      <c r="BG13" s="31" t="n">
        <f aca="false">IF(BG4&lt;Assumptions!$E$10,0,MIN(1,(BG4-Assumptions!$E$10+1)/Assumptions!$D$29))</f>
        <v>1</v>
      </c>
      <c r="BH13" s="31" t="n">
        <f aca="false">IF(BH4&lt;Assumptions!$E$10,0,MIN(1,(BH4-Assumptions!$E$10+1)/Assumptions!$D$29))</f>
        <v>1</v>
      </c>
      <c r="BI13" s="31" t="n">
        <f aca="false">IF(BI4&lt;Assumptions!$E$10,0,MIN(1,(BI4-Assumptions!$E$10+1)/Assumptions!$D$29))</f>
        <v>1</v>
      </c>
      <c r="BJ13" s="31" t="n">
        <f aca="false">IF(BJ4&lt;Assumptions!$E$10,0,MIN(1,(BJ4-Assumptions!$E$10+1)/Assumptions!$D$29))</f>
        <v>1</v>
      </c>
    </row>
    <row r="15" customFormat="false" ht="15" hidden="false" customHeight="false" outlineLevel="0" collapsed="false">
      <c r="A15" s="10" t="s">
        <v>118</v>
      </c>
    </row>
    <row r="16" customFormat="false" ht="15" hidden="false" customHeight="false" outlineLevel="0" collapsed="false">
      <c r="A16" s="5" t="s">
        <v>42</v>
      </c>
      <c r="C16" s="32" t="n">
        <f aca="false">Assumptions!$D$6*Assumptions!$G$6*C9</f>
        <v>1.92677916666667</v>
      </c>
      <c r="D16" s="32" t="n">
        <f aca="false">Assumptions!$D$6*Assumptions!$G$6*D9</f>
        <v>3.85355833333333</v>
      </c>
      <c r="E16" s="32" t="n">
        <f aca="false">Assumptions!$D$6*Assumptions!$G$6*E9</f>
        <v>5.7803375</v>
      </c>
      <c r="F16" s="32" t="n">
        <f aca="false">Assumptions!$D$6*Assumptions!$G$6*F9</f>
        <v>7.70711666666667</v>
      </c>
      <c r="G16" s="32" t="n">
        <f aca="false">Assumptions!$D$6*Assumptions!$G$6*G9</f>
        <v>9.63389583333333</v>
      </c>
      <c r="H16" s="32" t="n">
        <f aca="false">Assumptions!$D$6*Assumptions!$G$6*H9</f>
        <v>11.560675</v>
      </c>
      <c r="I16" s="32" t="n">
        <f aca="false">Assumptions!$D$6*Assumptions!$G$6*I9</f>
        <v>13.4874541666667</v>
      </c>
      <c r="J16" s="32" t="n">
        <f aca="false">Assumptions!$D$6*Assumptions!$G$6*J9</f>
        <v>15.4142333333333</v>
      </c>
      <c r="K16" s="32" t="n">
        <f aca="false">Assumptions!$D$6*Assumptions!$G$6*K9</f>
        <v>17.3410125</v>
      </c>
      <c r="L16" s="32" t="n">
        <f aca="false">Assumptions!$D$6*Assumptions!$G$6*L9</f>
        <v>19.2677916666667</v>
      </c>
      <c r="M16" s="32" t="n">
        <f aca="false">Assumptions!$D$6*Assumptions!$G$6*M9</f>
        <v>21.1945708333333</v>
      </c>
      <c r="N16" s="32" t="n">
        <f aca="false">Assumptions!$D$6*Assumptions!$G$6*N9</f>
        <v>23.12135</v>
      </c>
      <c r="O16" s="32" t="n">
        <f aca="false">Assumptions!$D$6*Assumptions!$G$6*O9</f>
        <v>23.12135</v>
      </c>
      <c r="P16" s="32" t="n">
        <f aca="false">Assumptions!$D$6*Assumptions!$G$6*P9</f>
        <v>23.12135</v>
      </c>
      <c r="Q16" s="32" t="n">
        <f aca="false">Assumptions!$D$6*Assumptions!$G$6*Q9</f>
        <v>23.12135</v>
      </c>
      <c r="R16" s="32" t="n">
        <f aca="false">Assumptions!$D$6*Assumptions!$G$6*R9</f>
        <v>23.12135</v>
      </c>
      <c r="S16" s="32" t="n">
        <f aca="false">Assumptions!$D$6*Assumptions!$G$6*S9</f>
        <v>23.12135</v>
      </c>
      <c r="T16" s="32" t="n">
        <f aca="false">Assumptions!$D$6*Assumptions!$G$6*T9</f>
        <v>23.12135</v>
      </c>
      <c r="U16" s="32" t="n">
        <f aca="false">Assumptions!$D$6*Assumptions!$G$6*U9</f>
        <v>23.12135</v>
      </c>
      <c r="V16" s="32" t="n">
        <f aca="false">Assumptions!$D$6*Assumptions!$G$6*V9</f>
        <v>23.12135</v>
      </c>
      <c r="W16" s="32" t="n">
        <f aca="false">Assumptions!$D$6*Assumptions!$G$6*W9</f>
        <v>23.12135</v>
      </c>
      <c r="X16" s="32" t="n">
        <f aca="false">Assumptions!$D$6*Assumptions!$G$6*X9</f>
        <v>23.12135</v>
      </c>
      <c r="Y16" s="32" t="n">
        <f aca="false">Assumptions!$D$6*Assumptions!$G$6*Y9</f>
        <v>23.12135</v>
      </c>
      <c r="Z16" s="32" t="n">
        <f aca="false">Assumptions!$D$6*Assumptions!$G$6*Z9</f>
        <v>23.12135</v>
      </c>
      <c r="AA16" s="32" t="n">
        <f aca="false">Assumptions!$D$6*Assumptions!$G$6*AA9</f>
        <v>23.12135</v>
      </c>
      <c r="AB16" s="32" t="n">
        <f aca="false">Assumptions!$D$6*Assumptions!$G$6*AB9</f>
        <v>23.12135</v>
      </c>
      <c r="AC16" s="32" t="n">
        <f aca="false">Assumptions!$D$6*Assumptions!$G$6*AC9</f>
        <v>23.12135</v>
      </c>
      <c r="AD16" s="32" t="n">
        <f aca="false">Assumptions!$D$6*Assumptions!$G$6*AD9</f>
        <v>23.12135</v>
      </c>
      <c r="AE16" s="32" t="n">
        <f aca="false">Assumptions!$D$6*Assumptions!$G$6*AE9</f>
        <v>23.12135</v>
      </c>
      <c r="AF16" s="32" t="n">
        <f aca="false">Assumptions!$D$6*Assumptions!$G$6*AF9</f>
        <v>23.12135</v>
      </c>
      <c r="AG16" s="32" t="n">
        <f aca="false">Assumptions!$D$6*Assumptions!$G$6*AG9</f>
        <v>23.12135</v>
      </c>
      <c r="AH16" s="32" t="n">
        <f aca="false">Assumptions!$D$6*Assumptions!$G$6*AH9</f>
        <v>23.12135</v>
      </c>
      <c r="AI16" s="32" t="n">
        <f aca="false">Assumptions!$D$6*Assumptions!$G$6*AI9</f>
        <v>23.12135</v>
      </c>
      <c r="AJ16" s="32" t="n">
        <f aca="false">Assumptions!$D$6*Assumptions!$G$6*AJ9</f>
        <v>23.12135</v>
      </c>
      <c r="AK16" s="32" t="n">
        <f aca="false">Assumptions!$D$6*Assumptions!$G$6*AK9</f>
        <v>23.12135</v>
      </c>
      <c r="AL16" s="32" t="n">
        <f aca="false">Assumptions!$D$6*Assumptions!$G$6*AL9</f>
        <v>23.12135</v>
      </c>
      <c r="AM16" s="32" t="n">
        <f aca="false">Assumptions!$D$6*Assumptions!$G$6*AM9</f>
        <v>23.12135</v>
      </c>
      <c r="AN16" s="32" t="n">
        <f aca="false">Assumptions!$D$6*Assumptions!$G$6*AN9</f>
        <v>23.12135</v>
      </c>
      <c r="AO16" s="32" t="n">
        <f aca="false">Assumptions!$D$6*Assumptions!$G$6*AO9</f>
        <v>23.12135</v>
      </c>
      <c r="AP16" s="32" t="n">
        <f aca="false">Assumptions!$D$6*Assumptions!$G$6*AP9</f>
        <v>23.12135</v>
      </c>
      <c r="AQ16" s="32" t="n">
        <f aca="false">Assumptions!$D$6*Assumptions!$G$6*AQ9</f>
        <v>23.12135</v>
      </c>
      <c r="AR16" s="32" t="n">
        <f aca="false">Assumptions!$D$6*Assumptions!$G$6*AR9</f>
        <v>23.12135</v>
      </c>
      <c r="AS16" s="32" t="n">
        <f aca="false">Assumptions!$D$6*Assumptions!$G$6*AS9</f>
        <v>23.12135</v>
      </c>
      <c r="AT16" s="32" t="n">
        <f aca="false">Assumptions!$D$6*Assumptions!$G$6*AT9</f>
        <v>23.12135</v>
      </c>
      <c r="AU16" s="32" t="n">
        <f aca="false">Assumptions!$D$6*Assumptions!$G$6*AU9</f>
        <v>23.12135</v>
      </c>
      <c r="AV16" s="32" t="n">
        <f aca="false">Assumptions!$D$6*Assumptions!$G$6*AV9</f>
        <v>23.12135</v>
      </c>
      <c r="AW16" s="32" t="n">
        <f aca="false">Assumptions!$D$6*Assumptions!$G$6*AW9</f>
        <v>23.12135</v>
      </c>
      <c r="AX16" s="32" t="n">
        <f aca="false">Assumptions!$D$6*Assumptions!$G$6*AX9</f>
        <v>23.12135</v>
      </c>
      <c r="AY16" s="32" t="n">
        <f aca="false">Assumptions!$D$6*Assumptions!$G$6*AY9</f>
        <v>23.12135</v>
      </c>
      <c r="AZ16" s="32" t="n">
        <f aca="false">Assumptions!$D$6*Assumptions!$G$6*AZ9</f>
        <v>23.12135</v>
      </c>
      <c r="BA16" s="32" t="n">
        <f aca="false">Assumptions!$D$6*Assumptions!$G$6*BA9</f>
        <v>23.12135</v>
      </c>
      <c r="BB16" s="32" t="n">
        <f aca="false">Assumptions!$D$6*Assumptions!$G$6*BB9</f>
        <v>23.12135</v>
      </c>
      <c r="BC16" s="32" t="n">
        <f aca="false">Assumptions!$D$6*Assumptions!$G$6*BC9</f>
        <v>23.12135</v>
      </c>
      <c r="BD16" s="32" t="n">
        <f aca="false">Assumptions!$D$6*Assumptions!$G$6*BD9</f>
        <v>23.12135</v>
      </c>
      <c r="BE16" s="32" t="n">
        <f aca="false">Assumptions!$D$6*Assumptions!$G$6*BE9</f>
        <v>23.12135</v>
      </c>
      <c r="BF16" s="32" t="n">
        <f aca="false">Assumptions!$D$6*Assumptions!$G$6*BF9</f>
        <v>23.12135</v>
      </c>
      <c r="BG16" s="32" t="n">
        <f aca="false">Assumptions!$D$6*Assumptions!$G$6*BG9</f>
        <v>23.12135</v>
      </c>
      <c r="BH16" s="32" t="n">
        <f aca="false">Assumptions!$D$6*Assumptions!$G$6*BH9</f>
        <v>23.12135</v>
      </c>
      <c r="BI16" s="32" t="n">
        <f aca="false">Assumptions!$D$6*Assumptions!$G$6*BI9</f>
        <v>23.12135</v>
      </c>
      <c r="BJ16" s="32" t="n">
        <f aca="false">Assumptions!$D$6*Assumptions!$G$6*BJ9</f>
        <v>23.12135</v>
      </c>
    </row>
    <row r="17" customFormat="false" ht="15" hidden="false" customHeight="false" outlineLevel="0" collapsed="false">
      <c r="A17" s="5" t="s">
        <v>44</v>
      </c>
      <c r="C17" s="32" t="n">
        <f aca="false">Assumptions!$D$7*Assumptions!$G$7*C10</f>
        <v>0</v>
      </c>
      <c r="D17" s="32" t="n">
        <f aca="false">Assumptions!$D$7*Assumptions!$G$7*D10</f>
        <v>0</v>
      </c>
      <c r="E17" s="32" t="n">
        <f aca="false">Assumptions!$D$7*Assumptions!$G$7*E10</f>
        <v>0</v>
      </c>
      <c r="F17" s="32" t="n">
        <f aca="false">Assumptions!$D$7*Assumptions!$G$7*F10</f>
        <v>0</v>
      </c>
      <c r="G17" s="32" t="n">
        <f aca="false">Assumptions!$D$7*Assumptions!$G$7*G10</f>
        <v>0</v>
      </c>
      <c r="H17" s="32" t="n">
        <f aca="false">Assumptions!$D$7*Assumptions!$G$7*H10</f>
        <v>0</v>
      </c>
      <c r="I17" s="32" t="n">
        <f aca="false">Assumptions!$D$7*Assumptions!$G$7*I10</f>
        <v>0.455</v>
      </c>
      <c r="J17" s="32" t="n">
        <f aca="false">Assumptions!$D$7*Assumptions!$G$7*J10</f>
        <v>0.91</v>
      </c>
      <c r="K17" s="32" t="n">
        <f aca="false">Assumptions!$D$7*Assumptions!$G$7*K10</f>
        <v>1.365</v>
      </c>
      <c r="L17" s="32" t="n">
        <f aca="false">Assumptions!$D$7*Assumptions!$G$7*L10</f>
        <v>1.82</v>
      </c>
      <c r="M17" s="32" t="n">
        <f aca="false">Assumptions!$D$7*Assumptions!$G$7*M10</f>
        <v>2.275</v>
      </c>
      <c r="N17" s="32" t="n">
        <f aca="false">Assumptions!$D$7*Assumptions!$G$7*N10</f>
        <v>2.73</v>
      </c>
      <c r="O17" s="32" t="n">
        <f aca="false">Assumptions!$D$7*Assumptions!$G$7*O10</f>
        <v>3.185</v>
      </c>
      <c r="P17" s="32" t="n">
        <f aca="false">Assumptions!$D$7*Assumptions!$G$7*P10</f>
        <v>3.64</v>
      </c>
      <c r="Q17" s="32" t="n">
        <f aca="false">Assumptions!$D$7*Assumptions!$G$7*Q10</f>
        <v>4.095</v>
      </c>
      <c r="R17" s="32" t="n">
        <f aca="false">Assumptions!$D$7*Assumptions!$G$7*R10</f>
        <v>4.55</v>
      </c>
      <c r="S17" s="32" t="n">
        <f aca="false">Assumptions!$D$7*Assumptions!$G$7*S10</f>
        <v>5.005</v>
      </c>
      <c r="T17" s="32" t="n">
        <f aca="false">Assumptions!$D$7*Assumptions!$G$7*T10</f>
        <v>5.46</v>
      </c>
      <c r="U17" s="32" t="n">
        <f aca="false">Assumptions!$D$7*Assumptions!$G$7*U10</f>
        <v>5.46</v>
      </c>
      <c r="V17" s="32" t="n">
        <f aca="false">Assumptions!$D$7*Assumptions!$G$7*V10</f>
        <v>5.46</v>
      </c>
      <c r="W17" s="32" t="n">
        <f aca="false">Assumptions!$D$7*Assumptions!$G$7*W10</f>
        <v>5.46</v>
      </c>
      <c r="X17" s="32" t="n">
        <f aca="false">Assumptions!$D$7*Assumptions!$G$7*X10</f>
        <v>5.46</v>
      </c>
      <c r="Y17" s="32" t="n">
        <f aca="false">Assumptions!$D$7*Assumptions!$G$7*Y10</f>
        <v>5.46</v>
      </c>
      <c r="Z17" s="32" t="n">
        <f aca="false">Assumptions!$D$7*Assumptions!$G$7*Z10</f>
        <v>5.46</v>
      </c>
      <c r="AA17" s="32" t="n">
        <f aca="false">Assumptions!$D$7*Assumptions!$G$7*AA10</f>
        <v>5.46</v>
      </c>
      <c r="AB17" s="32" t="n">
        <f aca="false">Assumptions!$D$7*Assumptions!$G$7*AB10</f>
        <v>5.46</v>
      </c>
      <c r="AC17" s="32" t="n">
        <f aca="false">Assumptions!$D$7*Assumptions!$G$7*AC10</f>
        <v>5.46</v>
      </c>
      <c r="AD17" s="32" t="n">
        <f aca="false">Assumptions!$D$7*Assumptions!$G$7*AD10</f>
        <v>5.46</v>
      </c>
      <c r="AE17" s="32" t="n">
        <f aca="false">Assumptions!$D$7*Assumptions!$G$7*AE10</f>
        <v>5.46</v>
      </c>
      <c r="AF17" s="32" t="n">
        <f aca="false">Assumptions!$D$7*Assumptions!$G$7*AF10</f>
        <v>5.46</v>
      </c>
      <c r="AG17" s="32" t="n">
        <f aca="false">Assumptions!$D$7*Assumptions!$G$7*AG10</f>
        <v>5.46</v>
      </c>
      <c r="AH17" s="32" t="n">
        <f aca="false">Assumptions!$D$7*Assumptions!$G$7*AH10</f>
        <v>5.46</v>
      </c>
      <c r="AI17" s="32" t="n">
        <f aca="false">Assumptions!$D$7*Assumptions!$G$7*AI10</f>
        <v>5.46</v>
      </c>
      <c r="AJ17" s="32" t="n">
        <f aca="false">Assumptions!$D$7*Assumptions!$G$7*AJ10</f>
        <v>5.46</v>
      </c>
      <c r="AK17" s="32" t="n">
        <f aca="false">Assumptions!$D$7*Assumptions!$G$7*AK10</f>
        <v>5.46</v>
      </c>
      <c r="AL17" s="32" t="n">
        <f aca="false">Assumptions!$D$7*Assumptions!$G$7*AL10</f>
        <v>5.46</v>
      </c>
      <c r="AM17" s="32" t="n">
        <f aca="false">Assumptions!$D$7*Assumptions!$G$7*AM10</f>
        <v>5.46</v>
      </c>
      <c r="AN17" s="32" t="n">
        <f aca="false">Assumptions!$D$7*Assumptions!$G$7*AN10</f>
        <v>5.46</v>
      </c>
      <c r="AO17" s="32" t="n">
        <f aca="false">Assumptions!$D$7*Assumptions!$G$7*AO10</f>
        <v>5.46</v>
      </c>
      <c r="AP17" s="32" t="n">
        <f aca="false">Assumptions!$D$7*Assumptions!$G$7*AP10</f>
        <v>5.46</v>
      </c>
      <c r="AQ17" s="32" t="n">
        <f aca="false">Assumptions!$D$7*Assumptions!$G$7*AQ10</f>
        <v>5.46</v>
      </c>
      <c r="AR17" s="32" t="n">
        <f aca="false">Assumptions!$D$7*Assumptions!$G$7*AR10</f>
        <v>5.46</v>
      </c>
      <c r="AS17" s="32" t="n">
        <f aca="false">Assumptions!$D$7*Assumptions!$G$7*AS10</f>
        <v>5.46</v>
      </c>
      <c r="AT17" s="32" t="n">
        <f aca="false">Assumptions!$D$7*Assumptions!$G$7*AT10</f>
        <v>5.46</v>
      </c>
      <c r="AU17" s="32" t="n">
        <f aca="false">Assumptions!$D$7*Assumptions!$G$7*AU10</f>
        <v>5.46</v>
      </c>
      <c r="AV17" s="32" t="n">
        <f aca="false">Assumptions!$D$7*Assumptions!$G$7*AV10</f>
        <v>5.46</v>
      </c>
      <c r="AW17" s="32" t="n">
        <f aca="false">Assumptions!$D$7*Assumptions!$G$7*AW10</f>
        <v>5.46</v>
      </c>
      <c r="AX17" s="32" t="n">
        <f aca="false">Assumptions!$D$7*Assumptions!$G$7*AX10</f>
        <v>5.46</v>
      </c>
      <c r="AY17" s="32" t="n">
        <f aca="false">Assumptions!$D$7*Assumptions!$G$7*AY10</f>
        <v>5.46</v>
      </c>
      <c r="AZ17" s="32" t="n">
        <f aca="false">Assumptions!$D$7*Assumptions!$G$7*AZ10</f>
        <v>5.46</v>
      </c>
      <c r="BA17" s="32" t="n">
        <f aca="false">Assumptions!$D$7*Assumptions!$G$7*BA10</f>
        <v>5.46</v>
      </c>
      <c r="BB17" s="32" t="n">
        <f aca="false">Assumptions!$D$7*Assumptions!$G$7*BB10</f>
        <v>5.46</v>
      </c>
      <c r="BC17" s="32" t="n">
        <f aca="false">Assumptions!$D$7*Assumptions!$G$7*BC10</f>
        <v>5.46</v>
      </c>
      <c r="BD17" s="32" t="n">
        <f aca="false">Assumptions!$D$7*Assumptions!$G$7*BD10</f>
        <v>5.46</v>
      </c>
      <c r="BE17" s="32" t="n">
        <f aca="false">Assumptions!$D$7*Assumptions!$G$7*BE10</f>
        <v>5.46</v>
      </c>
      <c r="BF17" s="32" t="n">
        <f aca="false">Assumptions!$D$7*Assumptions!$G$7*BF10</f>
        <v>5.46</v>
      </c>
      <c r="BG17" s="32" t="n">
        <f aca="false">Assumptions!$D$7*Assumptions!$G$7*BG10</f>
        <v>5.46</v>
      </c>
      <c r="BH17" s="32" t="n">
        <f aca="false">Assumptions!$D$7*Assumptions!$G$7*BH10</f>
        <v>5.46</v>
      </c>
      <c r="BI17" s="32" t="n">
        <f aca="false">Assumptions!$D$7*Assumptions!$G$7*BI10</f>
        <v>5.46</v>
      </c>
      <c r="BJ17" s="32" t="n">
        <f aca="false">Assumptions!$D$7*Assumptions!$G$7*BJ10</f>
        <v>5.46</v>
      </c>
    </row>
    <row r="18" customFormat="false" ht="15" hidden="false" customHeight="false" outlineLevel="0" collapsed="false">
      <c r="A18" s="5" t="s">
        <v>46</v>
      </c>
      <c r="C18" s="32" t="n">
        <f aca="false">Assumptions!$D$8*Assumptions!$G$8*C11</f>
        <v>0</v>
      </c>
      <c r="D18" s="32" t="n">
        <f aca="false">Assumptions!$D$8*Assumptions!$G$8*D11</f>
        <v>0</v>
      </c>
      <c r="E18" s="32" t="n">
        <f aca="false">Assumptions!$D$8*Assumptions!$G$8*E11</f>
        <v>0</v>
      </c>
      <c r="F18" s="32" t="n">
        <f aca="false">Assumptions!$D$8*Assumptions!$G$8*F11</f>
        <v>0</v>
      </c>
      <c r="G18" s="32" t="n">
        <f aca="false">Assumptions!$D$8*Assumptions!$G$8*G11</f>
        <v>0</v>
      </c>
      <c r="H18" s="32" t="n">
        <f aca="false">Assumptions!$D$8*Assumptions!$G$8*H11</f>
        <v>0</v>
      </c>
      <c r="I18" s="32" t="n">
        <f aca="false">Assumptions!$D$8*Assumptions!$G$8*I11</f>
        <v>0.2</v>
      </c>
      <c r="J18" s="32" t="n">
        <f aca="false">Assumptions!$D$8*Assumptions!$G$8*J11</f>
        <v>0.4</v>
      </c>
      <c r="K18" s="32" t="n">
        <f aca="false">Assumptions!$D$8*Assumptions!$G$8*K11</f>
        <v>0.6</v>
      </c>
      <c r="L18" s="32" t="n">
        <f aca="false">Assumptions!$D$8*Assumptions!$G$8*L11</f>
        <v>0.8</v>
      </c>
      <c r="M18" s="32" t="n">
        <f aca="false">Assumptions!$D$8*Assumptions!$G$8*M11</f>
        <v>1</v>
      </c>
      <c r="N18" s="32" t="n">
        <f aca="false">Assumptions!$D$8*Assumptions!$G$8*N11</f>
        <v>1.2</v>
      </c>
      <c r="O18" s="32" t="n">
        <f aca="false">Assumptions!$D$8*Assumptions!$G$8*O11</f>
        <v>1.4</v>
      </c>
      <c r="P18" s="32" t="n">
        <f aca="false">Assumptions!$D$8*Assumptions!$G$8*P11</f>
        <v>1.6</v>
      </c>
      <c r="Q18" s="32" t="n">
        <f aca="false">Assumptions!$D$8*Assumptions!$G$8*Q11</f>
        <v>1.8</v>
      </c>
      <c r="R18" s="32" t="n">
        <f aca="false">Assumptions!$D$8*Assumptions!$G$8*R11</f>
        <v>2</v>
      </c>
      <c r="S18" s="32" t="n">
        <f aca="false">Assumptions!$D$8*Assumptions!$G$8*S11</f>
        <v>2.2</v>
      </c>
      <c r="T18" s="32" t="n">
        <f aca="false">Assumptions!$D$8*Assumptions!$G$8*T11</f>
        <v>2.4</v>
      </c>
      <c r="U18" s="32" t="n">
        <f aca="false">Assumptions!$D$8*Assumptions!$G$8*U11</f>
        <v>2.4</v>
      </c>
      <c r="V18" s="32" t="n">
        <f aca="false">Assumptions!$D$8*Assumptions!$G$8*V11</f>
        <v>2.4</v>
      </c>
      <c r="W18" s="32" t="n">
        <f aca="false">Assumptions!$D$8*Assumptions!$G$8*W11</f>
        <v>2.4</v>
      </c>
      <c r="X18" s="32" t="n">
        <f aca="false">Assumptions!$D$8*Assumptions!$G$8*X11</f>
        <v>2.4</v>
      </c>
      <c r="Y18" s="32" t="n">
        <f aca="false">Assumptions!$D$8*Assumptions!$G$8*Y11</f>
        <v>2.4</v>
      </c>
      <c r="Z18" s="32" t="n">
        <f aca="false">Assumptions!$D$8*Assumptions!$G$8*Z11</f>
        <v>2.4</v>
      </c>
      <c r="AA18" s="32" t="n">
        <f aca="false">Assumptions!$D$8*Assumptions!$G$8*AA11</f>
        <v>2.4</v>
      </c>
      <c r="AB18" s="32" t="n">
        <f aca="false">Assumptions!$D$8*Assumptions!$G$8*AB11</f>
        <v>2.4</v>
      </c>
      <c r="AC18" s="32" t="n">
        <f aca="false">Assumptions!$D$8*Assumptions!$G$8*AC11</f>
        <v>2.4</v>
      </c>
      <c r="AD18" s="32" t="n">
        <f aca="false">Assumptions!$D$8*Assumptions!$G$8*AD11</f>
        <v>2.4</v>
      </c>
      <c r="AE18" s="32" t="n">
        <f aca="false">Assumptions!$D$8*Assumptions!$G$8*AE11</f>
        <v>2.4</v>
      </c>
      <c r="AF18" s="32" t="n">
        <f aca="false">Assumptions!$D$8*Assumptions!$G$8*AF11</f>
        <v>2.4</v>
      </c>
      <c r="AG18" s="32" t="n">
        <f aca="false">Assumptions!$D$8*Assumptions!$G$8*AG11</f>
        <v>2.4</v>
      </c>
      <c r="AH18" s="32" t="n">
        <f aca="false">Assumptions!$D$8*Assumptions!$G$8*AH11</f>
        <v>2.4</v>
      </c>
      <c r="AI18" s="32" t="n">
        <f aca="false">Assumptions!$D$8*Assumptions!$G$8*AI11</f>
        <v>2.4</v>
      </c>
      <c r="AJ18" s="32" t="n">
        <f aca="false">Assumptions!$D$8*Assumptions!$G$8*AJ11</f>
        <v>2.4</v>
      </c>
      <c r="AK18" s="32" t="n">
        <f aca="false">Assumptions!$D$8*Assumptions!$G$8*AK11</f>
        <v>2.4</v>
      </c>
      <c r="AL18" s="32" t="n">
        <f aca="false">Assumptions!$D$8*Assumptions!$G$8*AL11</f>
        <v>2.4</v>
      </c>
      <c r="AM18" s="32" t="n">
        <f aca="false">Assumptions!$D$8*Assumptions!$G$8*AM11</f>
        <v>2.4</v>
      </c>
      <c r="AN18" s="32" t="n">
        <f aca="false">Assumptions!$D$8*Assumptions!$G$8*AN11</f>
        <v>2.4</v>
      </c>
      <c r="AO18" s="32" t="n">
        <f aca="false">Assumptions!$D$8*Assumptions!$G$8*AO11</f>
        <v>2.4</v>
      </c>
      <c r="AP18" s="32" t="n">
        <f aca="false">Assumptions!$D$8*Assumptions!$G$8*AP11</f>
        <v>2.4</v>
      </c>
      <c r="AQ18" s="32" t="n">
        <f aca="false">Assumptions!$D$8*Assumptions!$G$8*AQ11</f>
        <v>2.4</v>
      </c>
      <c r="AR18" s="32" t="n">
        <f aca="false">Assumptions!$D$8*Assumptions!$G$8*AR11</f>
        <v>2.4</v>
      </c>
      <c r="AS18" s="32" t="n">
        <f aca="false">Assumptions!$D$8*Assumptions!$G$8*AS11</f>
        <v>2.4</v>
      </c>
      <c r="AT18" s="32" t="n">
        <f aca="false">Assumptions!$D$8*Assumptions!$G$8*AT11</f>
        <v>2.4</v>
      </c>
      <c r="AU18" s="32" t="n">
        <f aca="false">Assumptions!$D$8*Assumptions!$G$8*AU11</f>
        <v>2.4</v>
      </c>
      <c r="AV18" s="32" t="n">
        <f aca="false">Assumptions!$D$8*Assumptions!$G$8*AV11</f>
        <v>2.4</v>
      </c>
      <c r="AW18" s="32" t="n">
        <f aca="false">Assumptions!$D$8*Assumptions!$G$8*AW11</f>
        <v>2.4</v>
      </c>
      <c r="AX18" s="32" t="n">
        <f aca="false">Assumptions!$D$8*Assumptions!$G$8*AX11</f>
        <v>2.4</v>
      </c>
      <c r="AY18" s="32" t="n">
        <f aca="false">Assumptions!$D$8*Assumptions!$G$8*AY11</f>
        <v>2.4</v>
      </c>
      <c r="AZ18" s="32" t="n">
        <f aca="false">Assumptions!$D$8*Assumptions!$G$8*AZ11</f>
        <v>2.4</v>
      </c>
      <c r="BA18" s="32" t="n">
        <f aca="false">Assumptions!$D$8*Assumptions!$G$8*BA11</f>
        <v>2.4</v>
      </c>
      <c r="BB18" s="32" t="n">
        <f aca="false">Assumptions!$D$8*Assumptions!$G$8*BB11</f>
        <v>2.4</v>
      </c>
      <c r="BC18" s="32" t="n">
        <f aca="false">Assumptions!$D$8*Assumptions!$G$8*BC11</f>
        <v>2.4</v>
      </c>
      <c r="BD18" s="32" t="n">
        <f aca="false">Assumptions!$D$8*Assumptions!$G$8*BD11</f>
        <v>2.4</v>
      </c>
      <c r="BE18" s="32" t="n">
        <f aca="false">Assumptions!$D$8*Assumptions!$G$8*BE11</f>
        <v>2.4</v>
      </c>
      <c r="BF18" s="32" t="n">
        <f aca="false">Assumptions!$D$8*Assumptions!$G$8*BF11</f>
        <v>2.4</v>
      </c>
      <c r="BG18" s="32" t="n">
        <f aca="false">Assumptions!$D$8*Assumptions!$G$8*BG11</f>
        <v>2.4</v>
      </c>
      <c r="BH18" s="32" t="n">
        <f aca="false">Assumptions!$D$8*Assumptions!$G$8*BH11</f>
        <v>2.4</v>
      </c>
      <c r="BI18" s="32" t="n">
        <f aca="false">Assumptions!$D$8*Assumptions!$G$8*BI11</f>
        <v>2.4</v>
      </c>
      <c r="BJ18" s="32" t="n">
        <f aca="false">Assumptions!$D$8*Assumptions!$G$8*BJ11</f>
        <v>2.4</v>
      </c>
    </row>
    <row r="19" customFormat="false" ht="15" hidden="false" customHeight="false" outlineLevel="0" collapsed="false">
      <c r="A19" s="5" t="s">
        <v>48</v>
      </c>
      <c r="C19" s="32" t="n">
        <f aca="false">Assumptions!$D$9*Assumptions!$G$9*C12</f>
        <v>0</v>
      </c>
      <c r="D19" s="32" t="n">
        <f aca="false">Assumptions!$D$9*Assumptions!$G$9*D12</f>
        <v>0</v>
      </c>
      <c r="E19" s="32" t="n">
        <f aca="false">Assumptions!$D$9*Assumptions!$G$9*E12</f>
        <v>0</v>
      </c>
      <c r="F19" s="32" t="n">
        <f aca="false">Assumptions!$D$9*Assumptions!$G$9*F12</f>
        <v>0</v>
      </c>
      <c r="G19" s="32" t="n">
        <f aca="false">Assumptions!$D$9*Assumptions!$G$9*G12</f>
        <v>0</v>
      </c>
      <c r="H19" s="32" t="n">
        <f aca="false">Assumptions!$D$9*Assumptions!$G$9*H12</f>
        <v>0</v>
      </c>
      <c r="I19" s="32" t="n">
        <f aca="false">Assumptions!$D$9*Assumptions!$G$9*I12</f>
        <v>0</v>
      </c>
      <c r="J19" s="32" t="n">
        <f aca="false">Assumptions!$D$9*Assumptions!$G$9*J12</f>
        <v>0</v>
      </c>
      <c r="K19" s="32" t="n">
        <f aca="false">Assumptions!$D$9*Assumptions!$G$9*K12</f>
        <v>0</v>
      </c>
      <c r="L19" s="32" t="n">
        <f aca="false">Assumptions!$D$9*Assumptions!$G$9*L12</f>
        <v>0</v>
      </c>
      <c r="M19" s="32" t="n">
        <f aca="false">Assumptions!$D$9*Assumptions!$G$9*M12</f>
        <v>0</v>
      </c>
      <c r="N19" s="32" t="n">
        <f aca="false">Assumptions!$D$9*Assumptions!$G$9*N12</f>
        <v>0</v>
      </c>
      <c r="O19" s="32" t="n">
        <f aca="false">Assumptions!$D$9*Assumptions!$G$9*O12</f>
        <v>0</v>
      </c>
      <c r="P19" s="32" t="n">
        <f aca="false">Assumptions!$D$9*Assumptions!$G$9*P12</f>
        <v>0</v>
      </c>
      <c r="Q19" s="32" t="n">
        <f aca="false">Assumptions!$D$9*Assumptions!$G$9*Q12</f>
        <v>0</v>
      </c>
      <c r="R19" s="32" t="n">
        <f aca="false">Assumptions!$D$9*Assumptions!$G$9*R12</f>
        <v>0</v>
      </c>
      <c r="S19" s="32" t="n">
        <f aca="false">Assumptions!$D$9*Assumptions!$G$9*S12</f>
        <v>0</v>
      </c>
      <c r="T19" s="32" t="n">
        <f aca="false">Assumptions!$D$9*Assumptions!$G$9*T12</f>
        <v>0</v>
      </c>
      <c r="U19" s="32" t="n">
        <f aca="false">Assumptions!$D$9*Assumptions!$G$9*U12</f>
        <v>0.1446375</v>
      </c>
      <c r="V19" s="32" t="n">
        <f aca="false">Assumptions!$D$9*Assumptions!$G$9*V12</f>
        <v>0.289275</v>
      </c>
      <c r="W19" s="32" t="n">
        <f aca="false">Assumptions!$D$9*Assumptions!$G$9*W12</f>
        <v>0.4339125</v>
      </c>
      <c r="X19" s="32" t="n">
        <f aca="false">Assumptions!$D$9*Assumptions!$G$9*X12</f>
        <v>0.57855</v>
      </c>
      <c r="Y19" s="32" t="n">
        <f aca="false">Assumptions!$D$9*Assumptions!$G$9*Y12</f>
        <v>0.7231875</v>
      </c>
      <c r="Z19" s="32" t="n">
        <f aca="false">Assumptions!$D$9*Assumptions!$G$9*Z12</f>
        <v>0.867825</v>
      </c>
      <c r="AA19" s="32" t="n">
        <f aca="false">Assumptions!$D$9*Assumptions!$G$9*AA12</f>
        <v>1.0124625</v>
      </c>
      <c r="AB19" s="32" t="n">
        <f aca="false">Assumptions!$D$9*Assumptions!$G$9*AB12</f>
        <v>1.1571</v>
      </c>
      <c r="AC19" s="32" t="n">
        <f aca="false">Assumptions!$D$9*Assumptions!$G$9*AC12</f>
        <v>1.3017375</v>
      </c>
      <c r="AD19" s="32" t="n">
        <f aca="false">Assumptions!$D$9*Assumptions!$G$9*AD12</f>
        <v>1.446375</v>
      </c>
      <c r="AE19" s="32" t="n">
        <f aca="false">Assumptions!$D$9*Assumptions!$G$9*AE12</f>
        <v>1.5910125</v>
      </c>
      <c r="AF19" s="32" t="n">
        <f aca="false">Assumptions!$D$9*Assumptions!$G$9*AF12</f>
        <v>1.73565</v>
      </c>
      <c r="AG19" s="32" t="n">
        <f aca="false">Assumptions!$D$9*Assumptions!$G$9*AG12</f>
        <v>1.73565</v>
      </c>
      <c r="AH19" s="32" t="n">
        <f aca="false">Assumptions!$D$9*Assumptions!$G$9*AH12</f>
        <v>1.73565</v>
      </c>
      <c r="AI19" s="32" t="n">
        <f aca="false">Assumptions!$D$9*Assumptions!$G$9*AI12</f>
        <v>1.73565</v>
      </c>
      <c r="AJ19" s="32" t="n">
        <f aca="false">Assumptions!$D$9*Assumptions!$G$9*AJ12</f>
        <v>1.73565</v>
      </c>
      <c r="AK19" s="32" t="n">
        <f aca="false">Assumptions!$D$9*Assumptions!$G$9*AK12</f>
        <v>1.73565</v>
      </c>
      <c r="AL19" s="32" t="n">
        <f aca="false">Assumptions!$D$9*Assumptions!$G$9*AL12</f>
        <v>1.73565</v>
      </c>
      <c r="AM19" s="32" t="n">
        <f aca="false">Assumptions!$D$9*Assumptions!$G$9*AM12</f>
        <v>1.73565</v>
      </c>
      <c r="AN19" s="32" t="n">
        <f aca="false">Assumptions!$D$9*Assumptions!$G$9*AN12</f>
        <v>1.73565</v>
      </c>
      <c r="AO19" s="32" t="n">
        <f aca="false">Assumptions!$D$9*Assumptions!$G$9*AO12</f>
        <v>1.73565</v>
      </c>
      <c r="AP19" s="32" t="n">
        <f aca="false">Assumptions!$D$9*Assumptions!$G$9*AP12</f>
        <v>1.73565</v>
      </c>
      <c r="AQ19" s="32" t="n">
        <f aca="false">Assumptions!$D$9*Assumptions!$G$9*AQ12</f>
        <v>1.73565</v>
      </c>
      <c r="AR19" s="32" t="n">
        <f aca="false">Assumptions!$D$9*Assumptions!$G$9*AR12</f>
        <v>1.73565</v>
      </c>
      <c r="AS19" s="32" t="n">
        <f aca="false">Assumptions!$D$9*Assumptions!$G$9*AS12</f>
        <v>1.73565</v>
      </c>
      <c r="AT19" s="32" t="n">
        <f aca="false">Assumptions!$D$9*Assumptions!$G$9*AT12</f>
        <v>1.73565</v>
      </c>
      <c r="AU19" s="32" t="n">
        <f aca="false">Assumptions!$D$9*Assumptions!$G$9*AU12</f>
        <v>1.73565</v>
      </c>
      <c r="AV19" s="32" t="n">
        <f aca="false">Assumptions!$D$9*Assumptions!$G$9*AV12</f>
        <v>1.73565</v>
      </c>
      <c r="AW19" s="32" t="n">
        <f aca="false">Assumptions!$D$9*Assumptions!$G$9*AW12</f>
        <v>1.73565</v>
      </c>
      <c r="AX19" s="32" t="n">
        <f aca="false">Assumptions!$D$9*Assumptions!$G$9*AX12</f>
        <v>1.73565</v>
      </c>
      <c r="AY19" s="32" t="n">
        <f aca="false">Assumptions!$D$9*Assumptions!$G$9*AY12</f>
        <v>1.73565</v>
      </c>
      <c r="AZ19" s="32" t="n">
        <f aca="false">Assumptions!$D$9*Assumptions!$G$9*AZ12</f>
        <v>1.73565</v>
      </c>
      <c r="BA19" s="32" t="n">
        <f aca="false">Assumptions!$D$9*Assumptions!$G$9*BA12</f>
        <v>1.73565</v>
      </c>
      <c r="BB19" s="32" t="n">
        <f aca="false">Assumptions!$D$9*Assumptions!$G$9*BB12</f>
        <v>1.73565</v>
      </c>
      <c r="BC19" s="32" t="n">
        <f aca="false">Assumptions!$D$9*Assumptions!$G$9*BC12</f>
        <v>1.73565</v>
      </c>
      <c r="BD19" s="32" t="n">
        <f aca="false">Assumptions!$D$9*Assumptions!$G$9*BD12</f>
        <v>1.73565</v>
      </c>
      <c r="BE19" s="32" t="n">
        <f aca="false">Assumptions!$D$9*Assumptions!$G$9*BE12</f>
        <v>1.73565</v>
      </c>
      <c r="BF19" s="32" t="n">
        <f aca="false">Assumptions!$D$9*Assumptions!$G$9*BF12</f>
        <v>1.73565</v>
      </c>
      <c r="BG19" s="32" t="n">
        <f aca="false">Assumptions!$D$9*Assumptions!$G$9*BG12</f>
        <v>1.73565</v>
      </c>
      <c r="BH19" s="32" t="n">
        <f aca="false">Assumptions!$D$9*Assumptions!$G$9*BH12</f>
        <v>1.73565</v>
      </c>
      <c r="BI19" s="32" t="n">
        <f aca="false">Assumptions!$D$9*Assumptions!$G$9*BI12</f>
        <v>1.73565</v>
      </c>
      <c r="BJ19" s="32" t="n">
        <f aca="false">Assumptions!$D$9*Assumptions!$G$9*BJ12</f>
        <v>1.73565</v>
      </c>
    </row>
    <row r="20" customFormat="false" ht="15" hidden="false" customHeight="false" outlineLevel="0" collapsed="false">
      <c r="A20" s="5" t="s">
        <v>50</v>
      </c>
      <c r="C20" s="32" t="n">
        <f aca="false">Assumptions!$D$10*Assumptions!$G$10*C13</f>
        <v>0</v>
      </c>
      <c r="D20" s="32" t="n">
        <f aca="false">Assumptions!$D$10*Assumptions!$G$10*D13</f>
        <v>0</v>
      </c>
      <c r="E20" s="32" t="n">
        <f aca="false">Assumptions!$D$10*Assumptions!$G$10*E13</f>
        <v>0</v>
      </c>
      <c r="F20" s="32" t="n">
        <f aca="false">Assumptions!$D$10*Assumptions!$G$10*F13</f>
        <v>0</v>
      </c>
      <c r="G20" s="32" t="n">
        <f aca="false">Assumptions!$D$10*Assumptions!$G$10*G13</f>
        <v>0</v>
      </c>
      <c r="H20" s="32" t="n">
        <f aca="false">Assumptions!$D$10*Assumptions!$G$10*H13</f>
        <v>0</v>
      </c>
      <c r="I20" s="32" t="n">
        <f aca="false">Assumptions!$D$10*Assumptions!$G$10*I13</f>
        <v>0</v>
      </c>
      <c r="J20" s="32" t="n">
        <f aca="false">Assumptions!$D$10*Assumptions!$G$10*J13</f>
        <v>0</v>
      </c>
      <c r="K20" s="32" t="n">
        <f aca="false">Assumptions!$D$10*Assumptions!$G$10*K13</f>
        <v>0</v>
      </c>
      <c r="L20" s="32" t="n">
        <f aca="false">Assumptions!$D$10*Assumptions!$G$10*L13</f>
        <v>0</v>
      </c>
      <c r="M20" s="32" t="n">
        <f aca="false">Assumptions!$D$10*Assumptions!$G$10*M13</f>
        <v>0</v>
      </c>
      <c r="N20" s="32" t="n">
        <f aca="false">Assumptions!$D$10*Assumptions!$G$10*N13</f>
        <v>0</v>
      </c>
      <c r="O20" s="32" t="n">
        <f aca="false">Assumptions!$D$10*Assumptions!$G$10*O13</f>
        <v>0</v>
      </c>
      <c r="P20" s="32" t="n">
        <f aca="false">Assumptions!$D$10*Assumptions!$G$10*P13</f>
        <v>0</v>
      </c>
      <c r="Q20" s="32" t="n">
        <f aca="false">Assumptions!$D$10*Assumptions!$G$10*Q13</f>
        <v>0</v>
      </c>
      <c r="R20" s="32" t="n">
        <f aca="false">Assumptions!$D$10*Assumptions!$G$10*R13</f>
        <v>0</v>
      </c>
      <c r="S20" s="32" t="n">
        <f aca="false">Assumptions!$D$10*Assumptions!$G$10*S13</f>
        <v>0</v>
      </c>
      <c r="T20" s="32" t="n">
        <f aca="false">Assumptions!$D$10*Assumptions!$G$10*T13</f>
        <v>0</v>
      </c>
      <c r="U20" s="32" t="n">
        <f aca="false">Assumptions!$D$10*Assumptions!$G$10*U13</f>
        <v>0.102083333333333</v>
      </c>
      <c r="V20" s="32" t="n">
        <f aca="false">Assumptions!$D$10*Assumptions!$G$10*V13</f>
        <v>0.204166666666667</v>
      </c>
      <c r="W20" s="32" t="n">
        <f aca="false">Assumptions!$D$10*Assumptions!$G$10*W13</f>
        <v>0.30625</v>
      </c>
      <c r="X20" s="32" t="n">
        <f aca="false">Assumptions!$D$10*Assumptions!$G$10*X13</f>
        <v>0.408333333333333</v>
      </c>
      <c r="Y20" s="32" t="n">
        <f aca="false">Assumptions!$D$10*Assumptions!$G$10*Y13</f>
        <v>0.510416666666667</v>
      </c>
      <c r="Z20" s="32" t="n">
        <f aca="false">Assumptions!$D$10*Assumptions!$G$10*Z13</f>
        <v>0.6125</v>
      </c>
      <c r="AA20" s="32" t="n">
        <f aca="false">Assumptions!$D$10*Assumptions!$G$10*AA13</f>
        <v>0.714583333333334</v>
      </c>
      <c r="AB20" s="32" t="n">
        <f aca="false">Assumptions!$D$10*Assumptions!$G$10*AB13</f>
        <v>0.816666666666667</v>
      </c>
      <c r="AC20" s="32" t="n">
        <f aca="false">Assumptions!$D$10*Assumptions!$G$10*AC13</f>
        <v>0.91875</v>
      </c>
      <c r="AD20" s="32" t="n">
        <f aca="false">Assumptions!$D$10*Assumptions!$G$10*AD13</f>
        <v>1.02083333333333</v>
      </c>
      <c r="AE20" s="32" t="n">
        <f aca="false">Assumptions!$D$10*Assumptions!$G$10*AE13</f>
        <v>1.12291666666667</v>
      </c>
      <c r="AF20" s="32" t="n">
        <f aca="false">Assumptions!$D$10*Assumptions!$G$10*AF13</f>
        <v>1.225</v>
      </c>
      <c r="AG20" s="32" t="n">
        <f aca="false">Assumptions!$D$10*Assumptions!$G$10*AG13</f>
        <v>1.225</v>
      </c>
      <c r="AH20" s="32" t="n">
        <f aca="false">Assumptions!$D$10*Assumptions!$G$10*AH13</f>
        <v>1.225</v>
      </c>
      <c r="AI20" s="32" t="n">
        <f aca="false">Assumptions!$D$10*Assumptions!$G$10*AI13</f>
        <v>1.225</v>
      </c>
      <c r="AJ20" s="32" t="n">
        <f aca="false">Assumptions!$D$10*Assumptions!$G$10*AJ13</f>
        <v>1.225</v>
      </c>
      <c r="AK20" s="32" t="n">
        <f aca="false">Assumptions!$D$10*Assumptions!$G$10*AK13</f>
        <v>1.225</v>
      </c>
      <c r="AL20" s="32" t="n">
        <f aca="false">Assumptions!$D$10*Assumptions!$G$10*AL13</f>
        <v>1.225</v>
      </c>
      <c r="AM20" s="32" t="n">
        <f aca="false">Assumptions!$D$10*Assumptions!$G$10*AM13</f>
        <v>1.225</v>
      </c>
      <c r="AN20" s="32" t="n">
        <f aca="false">Assumptions!$D$10*Assumptions!$G$10*AN13</f>
        <v>1.225</v>
      </c>
      <c r="AO20" s="32" t="n">
        <f aca="false">Assumptions!$D$10*Assumptions!$G$10*AO13</f>
        <v>1.225</v>
      </c>
      <c r="AP20" s="32" t="n">
        <f aca="false">Assumptions!$D$10*Assumptions!$G$10*AP13</f>
        <v>1.225</v>
      </c>
      <c r="AQ20" s="32" t="n">
        <f aca="false">Assumptions!$D$10*Assumptions!$G$10*AQ13</f>
        <v>1.225</v>
      </c>
      <c r="AR20" s="32" t="n">
        <f aca="false">Assumptions!$D$10*Assumptions!$G$10*AR13</f>
        <v>1.225</v>
      </c>
      <c r="AS20" s="32" t="n">
        <f aca="false">Assumptions!$D$10*Assumptions!$G$10*AS13</f>
        <v>1.225</v>
      </c>
      <c r="AT20" s="32" t="n">
        <f aca="false">Assumptions!$D$10*Assumptions!$G$10*AT13</f>
        <v>1.225</v>
      </c>
      <c r="AU20" s="32" t="n">
        <f aca="false">Assumptions!$D$10*Assumptions!$G$10*AU13</f>
        <v>1.225</v>
      </c>
      <c r="AV20" s="32" t="n">
        <f aca="false">Assumptions!$D$10*Assumptions!$G$10*AV13</f>
        <v>1.225</v>
      </c>
      <c r="AW20" s="32" t="n">
        <f aca="false">Assumptions!$D$10*Assumptions!$G$10*AW13</f>
        <v>1.225</v>
      </c>
      <c r="AX20" s="32" t="n">
        <f aca="false">Assumptions!$D$10*Assumptions!$G$10*AX13</f>
        <v>1.225</v>
      </c>
      <c r="AY20" s="32" t="n">
        <f aca="false">Assumptions!$D$10*Assumptions!$G$10*AY13</f>
        <v>1.225</v>
      </c>
      <c r="AZ20" s="32" t="n">
        <f aca="false">Assumptions!$D$10*Assumptions!$G$10*AZ13</f>
        <v>1.225</v>
      </c>
      <c r="BA20" s="32" t="n">
        <f aca="false">Assumptions!$D$10*Assumptions!$G$10*BA13</f>
        <v>1.225</v>
      </c>
      <c r="BB20" s="32" t="n">
        <f aca="false">Assumptions!$D$10*Assumptions!$G$10*BB13</f>
        <v>1.225</v>
      </c>
      <c r="BC20" s="32" t="n">
        <f aca="false">Assumptions!$D$10*Assumptions!$G$10*BC13</f>
        <v>1.225</v>
      </c>
      <c r="BD20" s="32" t="n">
        <f aca="false">Assumptions!$D$10*Assumptions!$G$10*BD13</f>
        <v>1.225</v>
      </c>
      <c r="BE20" s="32" t="n">
        <f aca="false">Assumptions!$D$10*Assumptions!$G$10*BE13</f>
        <v>1.225</v>
      </c>
      <c r="BF20" s="32" t="n">
        <f aca="false">Assumptions!$D$10*Assumptions!$G$10*BF13</f>
        <v>1.225</v>
      </c>
      <c r="BG20" s="32" t="n">
        <f aca="false">Assumptions!$D$10*Assumptions!$G$10*BG13</f>
        <v>1.225</v>
      </c>
      <c r="BH20" s="32" t="n">
        <f aca="false">Assumptions!$D$10*Assumptions!$G$10*BH13</f>
        <v>1.225</v>
      </c>
      <c r="BI20" s="32" t="n">
        <f aca="false">Assumptions!$D$10*Assumptions!$G$10*BI13</f>
        <v>1.225</v>
      </c>
      <c r="BJ20" s="32" t="n">
        <f aca="false">Assumptions!$D$10*Assumptions!$G$10*BJ13</f>
        <v>1.225</v>
      </c>
    </row>
    <row r="22" customFormat="false" ht="15" hidden="false" customHeight="false" outlineLevel="0" collapsed="false">
      <c r="A22" s="10" t="s">
        <v>119</v>
      </c>
    </row>
    <row r="23" customFormat="false" ht="15" hidden="false" customHeight="false" outlineLevel="0" collapsed="false">
      <c r="A23" s="5" t="s">
        <v>42</v>
      </c>
      <c r="C23" s="32" t="n">
        <f aca="false">C16</f>
        <v>1.92677916666667</v>
      </c>
      <c r="D23" s="32" t="n">
        <f aca="false">C23*(1-Assumptions!$D$26)+D16</f>
        <v>5.73216802083333</v>
      </c>
      <c r="E23" s="32" t="n">
        <f aca="false">D23*(1-Assumptions!$D$26)+E16</f>
        <v>11.3692013203125</v>
      </c>
      <c r="F23" s="32" t="n">
        <f aca="false">E23*(1-Assumptions!$D$26)+F16</f>
        <v>18.7920879539714</v>
      </c>
      <c r="G23" s="32" t="n">
        <f aca="false">F23*(1-Assumptions!$D$26)+G16</f>
        <v>27.9561815884554</v>
      </c>
      <c r="H23" s="32" t="n">
        <f aca="false">G23*(1-Assumptions!$D$26)+H16</f>
        <v>38.817952048744</v>
      </c>
      <c r="I23" s="32" t="n">
        <f aca="false">H23*(1-Assumptions!$D$26)+I16</f>
        <v>51.3349574141921</v>
      </c>
      <c r="J23" s="32" t="n">
        <f aca="false">I23*(1-Assumptions!$D$26)+J16</f>
        <v>65.4658168121706</v>
      </c>
      <c r="K23" s="32" t="n">
        <f aca="false">J23*(1-Assumptions!$D$26)+K16</f>
        <v>81.1701838918663</v>
      </c>
      <c r="L23" s="32" t="n">
        <f aca="false">K23*(1-Assumptions!$D$26)+L16</f>
        <v>98.4087209612364</v>
      </c>
      <c r="M23" s="32" t="n">
        <f aca="false">L23*(1-Assumptions!$D$26)+M16</f>
        <v>117.143073770539</v>
      </c>
      <c r="N23" s="32" t="n">
        <f aca="false">M23*(1-Assumptions!$D$26)+N16</f>
        <v>137.335846926275</v>
      </c>
      <c r="O23" s="32" t="n">
        <f aca="false">N23*(1-Assumptions!$D$26)+O16</f>
        <v>157.023800753118</v>
      </c>
      <c r="P23" s="32" t="n">
        <f aca="false">O23*(1-Assumptions!$D$26)+P16</f>
        <v>176.21955573429</v>
      </c>
      <c r="Q23" s="32" t="n">
        <f aca="false">P23*(1-Assumptions!$D$26)+Q16</f>
        <v>194.935416840933</v>
      </c>
      <c r="R23" s="32" t="n">
        <f aca="false">Q23*(1-Assumptions!$D$26)+R16</f>
        <v>213.18338141991</v>
      </c>
      <c r="S23" s="32" t="n">
        <f aca="false">R23*(1-Assumptions!$D$26)+S16</f>
        <v>230.975146884412</v>
      </c>
      <c r="T23" s="32" t="n">
        <f aca="false">S23*(1-Assumptions!$D$26)+T16</f>
        <v>248.322118212302</v>
      </c>
      <c r="U23" s="32" t="n">
        <f aca="false">T23*(1-Assumptions!$D$26)+U16</f>
        <v>265.235415256994</v>
      </c>
      <c r="V23" s="32" t="n">
        <f aca="false">U23*(1-Assumptions!$D$26)+V16</f>
        <v>281.725879875569</v>
      </c>
      <c r="W23" s="32" t="n">
        <f aca="false">V23*(1-Assumptions!$D$26)+W16</f>
        <v>297.80408287868</v>
      </c>
      <c r="X23" s="32" t="n">
        <f aca="false">W23*(1-Assumptions!$D$26)+X16</f>
        <v>313.480330806713</v>
      </c>
      <c r="Y23" s="32" t="n">
        <f aca="false">X23*(1-Assumptions!$D$26)+Y16</f>
        <v>328.764672536545</v>
      </c>
      <c r="Z23" s="32" t="n">
        <f aca="false">Y23*(1-Assumptions!$D$26)+Z16</f>
        <v>343.666905723132</v>
      </c>
      <c r="AA23" s="32" t="n">
        <f aca="false">Z23*(1-Assumptions!$D$26)+AA16</f>
        <v>358.196583080053</v>
      </c>
      <c r="AB23" s="32" t="n">
        <f aca="false">AA23*(1-Assumptions!$D$26)+AB16</f>
        <v>372.363018503052</v>
      </c>
      <c r="AC23" s="32" t="n">
        <f aca="false">AB23*(1-Assumptions!$D$26)+AC16</f>
        <v>386.175293040476</v>
      </c>
      <c r="AD23" s="32" t="n">
        <f aca="false">AC23*(1-Assumptions!$D$26)+AD16</f>
        <v>399.642260714464</v>
      </c>
      <c r="AE23" s="32" t="n">
        <f aca="false">AD23*(1-Assumptions!$D$26)+AE16</f>
        <v>412.772554196602</v>
      </c>
      <c r="AF23" s="32" t="n">
        <f aca="false">AE23*(1-Assumptions!$D$26)+AF16</f>
        <v>425.574590341687</v>
      </c>
      <c r="AG23" s="32" t="n">
        <f aca="false">AF23*(1-Assumptions!$D$26)+AG16</f>
        <v>438.056575583145</v>
      </c>
      <c r="AH23" s="32" t="n">
        <f aca="false">AG23*(1-Assumptions!$D$26)+AH16</f>
        <v>450.226511193566</v>
      </c>
      <c r="AI23" s="32" t="n">
        <f aca="false">AH23*(1-Assumptions!$D$26)+AI16</f>
        <v>462.092198413727</v>
      </c>
      <c r="AJ23" s="32" t="n">
        <f aca="false">AI23*(1-Assumptions!$D$26)+AJ16</f>
        <v>473.661243453384</v>
      </c>
      <c r="AK23" s="32" t="n">
        <f aca="false">AJ23*(1-Assumptions!$D$26)+AK16</f>
        <v>484.94106236705</v>
      </c>
      <c r="AL23" s="32" t="n">
        <f aca="false">AK23*(1-Assumptions!$D$26)+AL16</f>
        <v>495.938885807873</v>
      </c>
      <c r="AM23" s="32" t="n">
        <f aca="false">AL23*(1-Assumptions!$D$26)+AM16</f>
        <v>506.661763662677</v>
      </c>
      <c r="AN23" s="32" t="n">
        <f aca="false">AM23*(1-Assumptions!$D$26)+AN16</f>
        <v>517.11656957111</v>
      </c>
      <c r="AO23" s="32" t="n">
        <f aca="false">AN23*(1-Assumptions!$D$26)+AO16</f>
        <v>527.310005331832</v>
      </c>
      <c r="AP23" s="32" t="n">
        <f aca="false">AO23*(1-Assumptions!$D$26)+AP16</f>
        <v>537.248605198536</v>
      </c>
      <c r="AQ23" s="32" t="n">
        <f aca="false">AP23*(1-Assumptions!$D$26)+AQ16</f>
        <v>546.938740068572</v>
      </c>
      <c r="AR23" s="32" t="n">
        <f aca="false">AQ23*(1-Assumptions!$D$26)+AR16</f>
        <v>556.386621566858</v>
      </c>
      <c r="AS23" s="32" t="n">
        <f aca="false">AR23*(1-Assumptions!$D$26)+AS16</f>
        <v>565.598306027687</v>
      </c>
      <c r="AT23" s="32" t="n">
        <f aca="false">AS23*(1-Assumptions!$D$26)+AT16</f>
        <v>574.579698376995</v>
      </c>
      <c r="AU23" s="32" t="n">
        <f aca="false">AT23*(1-Assumptions!$D$26)+AU16</f>
        <v>583.33655591757</v>
      </c>
      <c r="AV23" s="32" t="n">
        <f aca="false">AU23*(1-Assumptions!$D$26)+AV16</f>
        <v>591.87449201963</v>
      </c>
      <c r="AW23" s="32" t="n">
        <f aca="false">AV23*(1-Assumptions!$D$26)+AW16</f>
        <v>600.19897971914</v>
      </c>
      <c r="AX23" s="32" t="n">
        <f aca="false">AW23*(1-Assumptions!$D$26)+AX16</f>
        <v>608.315355226161</v>
      </c>
      <c r="AY23" s="32" t="n">
        <f aca="false">AX23*(1-Assumptions!$D$26)+AY16</f>
        <v>616.228821345507</v>
      </c>
      <c r="AZ23" s="32" t="n">
        <f aca="false">AY23*(1-Assumptions!$D$26)+AZ16</f>
        <v>623.944450811869</v>
      </c>
      <c r="BA23" s="32" t="n">
        <f aca="false">AZ23*(1-Assumptions!$D$26)+BA16</f>
        <v>631.467189541573</v>
      </c>
      <c r="BB23" s="32" t="n">
        <f aca="false">BA23*(1-Assumptions!$D$26)+BB16</f>
        <v>638.801859803033</v>
      </c>
      <c r="BC23" s="32" t="n">
        <f aca="false">BB23*(1-Assumptions!$D$26)+BC16</f>
        <v>645.953163307958</v>
      </c>
      <c r="BD23" s="32" t="n">
        <f aca="false">BC23*(1-Assumptions!$D$26)+BD16</f>
        <v>652.925684225259</v>
      </c>
      <c r="BE23" s="32" t="n">
        <f aca="false">BD23*(1-Assumptions!$D$26)+BE16</f>
        <v>659.723892119627</v>
      </c>
      <c r="BF23" s="32" t="n">
        <f aca="false">BE23*(1-Assumptions!$D$26)+BF16</f>
        <v>666.352144816636</v>
      </c>
      <c r="BG23" s="32" t="n">
        <f aca="false">BF23*(1-Assumptions!$D$26)+BG16</f>
        <v>672.814691196221</v>
      </c>
      <c r="BH23" s="32" t="n">
        <f aca="false">BG23*(1-Assumptions!$D$26)+BH16</f>
        <v>679.115673916315</v>
      </c>
      <c r="BI23" s="32" t="n">
        <f aca="false">BH23*(1-Assumptions!$D$26)+BI16</f>
        <v>685.259132068407</v>
      </c>
      <c r="BJ23" s="32" t="n">
        <f aca="false">BI23*(1-Assumptions!$D$26)+BJ16</f>
        <v>691.249003766697</v>
      </c>
    </row>
    <row r="24" customFormat="false" ht="15" hidden="false" customHeight="false" outlineLevel="0" collapsed="false">
      <c r="A24" s="5" t="s">
        <v>44</v>
      </c>
      <c r="C24" s="32" t="n">
        <f aca="false">C17</f>
        <v>0</v>
      </c>
      <c r="D24" s="32" t="n">
        <f aca="false">C24*(1-Assumptions!$D$26)+D17</f>
        <v>0</v>
      </c>
      <c r="E24" s="32" t="n">
        <f aca="false">D24*(1-Assumptions!$D$26)+E17</f>
        <v>0</v>
      </c>
      <c r="F24" s="32" t="n">
        <f aca="false">E24*(1-Assumptions!$D$26)+F17</f>
        <v>0</v>
      </c>
      <c r="G24" s="32" t="n">
        <f aca="false">F24*(1-Assumptions!$D$26)+G17</f>
        <v>0</v>
      </c>
      <c r="H24" s="32" t="n">
        <f aca="false">G24*(1-Assumptions!$D$26)+H17</f>
        <v>0</v>
      </c>
      <c r="I24" s="32" t="n">
        <f aca="false">H24*(1-Assumptions!$D$26)+I17</f>
        <v>0.455</v>
      </c>
      <c r="J24" s="32" t="n">
        <f aca="false">I24*(1-Assumptions!$D$26)+J17</f>
        <v>1.353625</v>
      </c>
      <c r="K24" s="32" t="n">
        <f aca="false">J24*(1-Assumptions!$D$26)+K17</f>
        <v>2.684784375</v>
      </c>
      <c r="L24" s="32" t="n">
        <f aca="false">K24*(1-Assumptions!$D$26)+L17</f>
        <v>4.437664765625</v>
      </c>
      <c r="M24" s="32" t="n">
        <f aca="false">L24*(1-Assumptions!$D$26)+M17</f>
        <v>6.60172314648438</v>
      </c>
      <c r="N24" s="32" t="n">
        <f aca="false">M24*(1-Assumptions!$D$26)+N17</f>
        <v>9.16668006782227</v>
      </c>
      <c r="O24" s="32" t="n">
        <f aca="false">N24*(1-Assumptions!$D$26)+O17</f>
        <v>12.1225130661267</v>
      </c>
      <c r="P24" s="32" t="n">
        <f aca="false">O24*(1-Assumptions!$D$26)+P17</f>
        <v>15.4594502394735</v>
      </c>
      <c r="Q24" s="32" t="n">
        <f aca="false">P24*(1-Assumptions!$D$26)+Q17</f>
        <v>19.1679639834867</v>
      </c>
      <c r="R24" s="32" t="n">
        <f aca="false">Q24*(1-Assumptions!$D$26)+R17</f>
        <v>23.2387648838995</v>
      </c>
      <c r="S24" s="32" t="n">
        <f aca="false">R24*(1-Assumptions!$D$26)+S17</f>
        <v>27.662795761802</v>
      </c>
      <c r="T24" s="32" t="n">
        <f aca="false">S24*(1-Assumptions!$D$26)+T17</f>
        <v>32.431225867757</v>
      </c>
      <c r="U24" s="32" t="n">
        <f aca="false">T24*(1-Assumptions!$D$26)+U17</f>
        <v>37.0804452210631</v>
      </c>
      <c r="V24" s="32" t="n">
        <f aca="false">U24*(1-Assumptions!$D$26)+V17</f>
        <v>41.6134340905365</v>
      </c>
      <c r="W24" s="32" t="n">
        <f aca="false">V24*(1-Assumptions!$D$26)+W17</f>
        <v>46.0330982382731</v>
      </c>
      <c r="X24" s="32" t="n">
        <f aca="false">W24*(1-Assumptions!$D$26)+X17</f>
        <v>50.3422707823163</v>
      </c>
      <c r="Y24" s="32" t="n">
        <f aca="false">X24*(1-Assumptions!$D$26)+Y17</f>
        <v>54.5437140127583</v>
      </c>
      <c r="Z24" s="32" t="n">
        <f aca="false">Y24*(1-Assumptions!$D$26)+Z17</f>
        <v>58.6401211624394</v>
      </c>
      <c r="AA24" s="32" t="n">
        <f aca="false">Z24*(1-Assumptions!$D$26)+AA17</f>
        <v>62.6341181333784</v>
      </c>
      <c r="AB24" s="32" t="n">
        <f aca="false">AA24*(1-Assumptions!$D$26)+AB17</f>
        <v>66.5282651800439</v>
      </c>
      <c r="AC24" s="32" t="n">
        <f aca="false">AB24*(1-Assumptions!$D$26)+AC17</f>
        <v>70.3250585505428</v>
      </c>
      <c r="AD24" s="32" t="n">
        <f aca="false">AC24*(1-Assumptions!$D$26)+AD17</f>
        <v>74.0269320867792</v>
      </c>
      <c r="AE24" s="32" t="n">
        <f aca="false">AD24*(1-Assumptions!$D$26)+AE17</f>
        <v>77.6362587846098</v>
      </c>
      <c r="AF24" s="32" t="n">
        <f aca="false">AE24*(1-Assumptions!$D$26)+AF17</f>
        <v>81.1553523149945</v>
      </c>
      <c r="AG24" s="32" t="n">
        <f aca="false">AF24*(1-Assumptions!$D$26)+AG17</f>
        <v>84.5864685071196</v>
      </c>
      <c r="AH24" s="32" t="n">
        <f aca="false">AG24*(1-Assumptions!$D$26)+AH17</f>
        <v>87.9318067944416</v>
      </c>
      <c r="AI24" s="32" t="n">
        <f aca="false">AH24*(1-Assumptions!$D$26)+AI17</f>
        <v>91.1935116245806</v>
      </c>
      <c r="AJ24" s="32" t="n">
        <f aca="false">AI24*(1-Assumptions!$D$26)+AJ17</f>
        <v>94.3736738339661</v>
      </c>
      <c r="AK24" s="32" t="n">
        <f aca="false">AJ24*(1-Assumptions!$D$26)+AK17</f>
        <v>97.4743319881169</v>
      </c>
      <c r="AL24" s="32" t="n">
        <f aca="false">AK24*(1-Assumptions!$D$26)+AL17</f>
        <v>100.497473688414</v>
      </c>
      <c r="AM24" s="32" t="n">
        <f aca="false">AL24*(1-Assumptions!$D$26)+AM17</f>
        <v>103.445036846204</v>
      </c>
      <c r="AN24" s="32" t="n">
        <f aca="false">AM24*(1-Assumptions!$D$26)+AN17</f>
        <v>106.318910925049</v>
      </c>
      <c r="AO24" s="32" t="n">
        <f aca="false">AN24*(1-Assumptions!$D$26)+AO17</f>
        <v>109.120938151922</v>
      </c>
      <c r="AP24" s="32" t="n">
        <f aca="false">AO24*(1-Assumptions!$D$26)+AP17</f>
        <v>111.852914698124</v>
      </c>
      <c r="AQ24" s="32" t="n">
        <f aca="false">AP24*(1-Assumptions!$D$26)+AQ17</f>
        <v>114.516591830671</v>
      </c>
      <c r="AR24" s="32" t="n">
        <f aca="false">AQ24*(1-Assumptions!$D$26)+AR17</f>
        <v>117.113677034904</v>
      </c>
      <c r="AS24" s="32" t="n">
        <f aca="false">AR24*(1-Assumptions!$D$26)+AS17</f>
        <v>119.645835109032</v>
      </c>
      <c r="AT24" s="32" t="n">
        <f aca="false">AS24*(1-Assumptions!$D$26)+AT17</f>
        <v>122.114689231306</v>
      </c>
      <c r="AU24" s="32" t="n">
        <f aca="false">AT24*(1-Assumptions!$D$26)+AU17</f>
        <v>124.521822000523</v>
      </c>
      <c r="AV24" s="32" t="n">
        <f aca="false">AU24*(1-Assumptions!$D$26)+AV17</f>
        <v>126.86877645051</v>
      </c>
      <c r="AW24" s="32" t="n">
        <f aca="false">AV24*(1-Assumptions!$D$26)+AW17</f>
        <v>129.157057039247</v>
      </c>
      <c r="AX24" s="32" t="n">
        <f aca="false">AW24*(1-Assumptions!$D$26)+AX17</f>
        <v>131.388130613266</v>
      </c>
      <c r="AY24" s="32" t="n">
        <f aca="false">AX24*(1-Assumptions!$D$26)+AY17</f>
        <v>133.563427347935</v>
      </c>
      <c r="AZ24" s="32" t="n">
        <f aca="false">AY24*(1-Assumptions!$D$26)+AZ17</f>
        <v>135.684341664236</v>
      </c>
      <c r="BA24" s="32" t="n">
        <f aca="false">AZ24*(1-Assumptions!$D$26)+BA17</f>
        <v>137.75223312263</v>
      </c>
      <c r="BB24" s="32" t="n">
        <f aca="false">BA24*(1-Assumptions!$D$26)+BB17</f>
        <v>139.768427294565</v>
      </c>
      <c r="BC24" s="32" t="n">
        <f aca="false">BB24*(1-Assumptions!$D$26)+BC17</f>
        <v>141.7342166122</v>
      </c>
      <c r="BD24" s="32" t="n">
        <f aca="false">BC24*(1-Assumptions!$D$26)+BD17</f>
        <v>143.650861196895</v>
      </c>
      <c r="BE24" s="32" t="n">
        <f aca="false">BD24*(1-Assumptions!$D$26)+BE17</f>
        <v>145.519589666973</v>
      </c>
      <c r="BF24" s="32" t="n">
        <f aca="false">BE24*(1-Assumptions!$D$26)+BF17</f>
        <v>147.341599925299</v>
      </c>
      <c r="BG24" s="32" t="n">
        <f aca="false">BF24*(1-Assumptions!$D$26)+BG17</f>
        <v>149.118059927166</v>
      </c>
      <c r="BH24" s="32" t="n">
        <f aca="false">BG24*(1-Assumptions!$D$26)+BH17</f>
        <v>150.850108428987</v>
      </c>
      <c r="BI24" s="32" t="n">
        <f aca="false">BH24*(1-Assumptions!$D$26)+BI17</f>
        <v>152.538855718262</v>
      </c>
      <c r="BJ24" s="32" t="n">
        <f aca="false">BI24*(1-Assumptions!$D$26)+BJ17</f>
        <v>154.185384325306</v>
      </c>
    </row>
    <row r="25" customFormat="false" ht="15" hidden="false" customHeight="false" outlineLevel="0" collapsed="false">
      <c r="A25" s="5" t="s">
        <v>46</v>
      </c>
      <c r="C25" s="32" t="n">
        <f aca="false">C18</f>
        <v>0</v>
      </c>
      <c r="D25" s="32" t="n">
        <f aca="false">C25*(1-Assumptions!$D$26)+D18</f>
        <v>0</v>
      </c>
      <c r="E25" s="32" t="n">
        <f aca="false">D25*(1-Assumptions!$D$26)+E18</f>
        <v>0</v>
      </c>
      <c r="F25" s="32" t="n">
        <f aca="false">E25*(1-Assumptions!$D$26)+F18</f>
        <v>0</v>
      </c>
      <c r="G25" s="32" t="n">
        <f aca="false">F25*(1-Assumptions!$D$26)+G18</f>
        <v>0</v>
      </c>
      <c r="H25" s="32" t="n">
        <f aca="false">G25*(1-Assumptions!$D$26)+H18</f>
        <v>0</v>
      </c>
      <c r="I25" s="32" t="n">
        <f aca="false">H25*(1-Assumptions!$D$26)+I18</f>
        <v>0.2</v>
      </c>
      <c r="J25" s="32" t="n">
        <f aca="false">I25*(1-Assumptions!$D$26)+J18</f>
        <v>0.595</v>
      </c>
      <c r="K25" s="32" t="n">
        <f aca="false">J25*(1-Assumptions!$D$26)+K18</f>
        <v>1.180125</v>
      </c>
      <c r="L25" s="32" t="n">
        <f aca="false">K25*(1-Assumptions!$D$26)+L18</f>
        <v>1.950621875</v>
      </c>
      <c r="M25" s="32" t="n">
        <f aca="false">L25*(1-Assumptions!$D$26)+M18</f>
        <v>2.901856328125</v>
      </c>
      <c r="N25" s="32" t="n">
        <f aca="false">M25*(1-Assumptions!$D$26)+N18</f>
        <v>4.02930991992187</v>
      </c>
      <c r="O25" s="32" t="n">
        <f aca="false">N25*(1-Assumptions!$D$26)+O18</f>
        <v>5.32857717192383</v>
      </c>
      <c r="P25" s="32" t="n">
        <f aca="false">O25*(1-Assumptions!$D$26)+P18</f>
        <v>6.79536274262573</v>
      </c>
      <c r="Q25" s="32" t="n">
        <f aca="false">P25*(1-Assumptions!$D$26)+Q18</f>
        <v>8.42547867406009</v>
      </c>
      <c r="R25" s="32" t="n">
        <f aca="false">Q25*(1-Assumptions!$D$26)+R18</f>
        <v>10.2148417072086</v>
      </c>
      <c r="S25" s="32" t="n">
        <f aca="false">R25*(1-Assumptions!$D$26)+S18</f>
        <v>12.1594706645284</v>
      </c>
      <c r="T25" s="32" t="n">
        <f aca="false">S25*(1-Assumptions!$D$26)+T18</f>
        <v>14.2554838979152</v>
      </c>
      <c r="U25" s="32" t="n">
        <f aca="false">T25*(1-Assumptions!$D$26)+U18</f>
        <v>16.2990968004673</v>
      </c>
      <c r="V25" s="32" t="n">
        <f aca="false">U25*(1-Assumptions!$D$26)+V18</f>
        <v>18.2916193804556</v>
      </c>
      <c r="W25" s="32" t="n">
        <f aca="false">V25*(1-Assumptions!$D$26)+W18</f>
        <v>20.2343288959442</v>
      </c>
      <c r="X25" s="32" t="n">
        <f aca="false">W25*(1-Assumptions!$D$26)+X18</f>
        <v>22.1284706735456</v>
      </c>
      <c r="Y25" s="32" t="n">
        <f aca="false">X25*(1-Assumptions!$D$26)+Y18</f>
        <v>23.975258906707</v>
      </c>
      <c r="Z25" s="32" t="n">
        <f aca="false">Y25*(1-Assumptions!$D$26)+Z18</f>
        <v>25.7758774340393</v>
      </c>
      <c r="AA25" s="32" t="n">
        <f aca="false">Z25*(1-Assumptions!$D$26)+AA18</f>
        <v>27.5314804981883</v>
      </c>
      <c r="AB25" s="32" t="n">
        <f aca="false">AA25*(1-Assumptions!$D$26)+AB18</f>
        <v>29.2431934857336</v>
      </c>
      <c r="AC25" s="32" t="n">
        <f aca="false">AB25*(1-Assumptions!$D$26)+AC18</f>
        <v>30.9121136485903</v>
      </c>
      <c r="AD25" s="32" t="n">
        <f aca="false">AC25*(1-Assumptions!$D$26)+AD18</f>
        <v>32.5393108073755</v>
      </c>
      <c r="AE25" s="32" t="n">
        <f aca="false">AD25*(1-Assumptions!$D$26)+AE18</f>
        <v>34.1258280371911</v>
      </c>
      <c r="AF25" s="32" t="n">
        <f aca="false">AE25*(1-Assumptions!$D$26)+AF18</f>
        <v>35.6726823362613</v>
      </c>
      <c r="AG25" s="32" t="n">
        <f aca="false">AF25*(1-Assumptions!$D$26)+AG18</f>
        <v>37.1808652778548</v>
      </c>
      <c r="AH25" s="32" t="n">
        <f aca="false">AG25*(1-Assumptions!$D$26)+AH18</f>
        <v>38.6513436459084</v>
      </c>
      <c r="AI25" s="32" t="n">
        <f aca="false">AH25*(1-Assumptions!$D$26)+AI18</f>
        <v>40.0850600547607</v>
      </c>
      <c r="AJ25" s="32" t="n">
        <f aca="false">AI25*(1-Assumptions!$D$26)+AJ18</f>
        <v>41.4829335533917</v>
      </c>
      <c r="AK25" s="32" t="n">
        <f aca="false">AJ25*(1-Assumptions!$D$26)+AK18</f>
        <v>42.8458602145569</v>
      </c>
      <c r="AL25" s="32" t="n">
        <f aca="false">AK25*(1-Assumptions!$D$26)+AL18</f>
        <v>44.174713709193</v>
      </c>
      <c r="AM25" s="32" t="n">
        <f aca="false">AL25*(1-Assumptions!$D$26)+AM18</f>
        <v>45.4703458664631</v>
      </c>
      <c r="AN25" s="32" t="n">
        <f aca="false">AM25*(1-Assumptions!$D$26)+AN18</f>
        <v>46.7335872198016</v>
      </c>
      <c r="AO25" s="32" t="n">
        <f aca="false">AN25*(1-Assumptions!$D$26)+AO18</f>
        <v>47.9652475393065</v>
      </c>
      <c r="AP25" s="32" t="n">
        <f aca="false">AO25*(1-Assumptions!$D$26)+AP18</f>
        <v>49.1661163508239</v>
      </c>
      <c r="AQ25" s="32" t="n">
        <f aca="false">AP25*(1-Assumptions!$D$26)+AQ18</f>
        <v>50.3369634420533</v>
      </c>
      <c r="AR25" s="32" t="n">
        <f aca="false">AQ25*(1-Assumptions!$D$26)+AR18</f>
        <v>51.4785393560019</v>
      </c>
      <c r="AS25" s="32" t="n">
        <f aca="false">AR25*(1-Assumptions!$D$26)+AS18</f>
        <v>52.5915758721019</v>
      </c>
      <c r="AT25" s="32" t="n">
        <f aca="false">AS25*(1-Assumptions!$D$26)+AT18</f>
        <v>53.6767864752993</v>
      </c>
      <c r="AU25" s="32" t="n">
        <f aca="false">AT25*(1-Assumptions!$D$26)+AU18</f>
        <v>54.7348668134168</v>
      </c>
      <c r="AV25" s="32" t="n">
        <f aca="false">AU25*(1-Assumptions!$D$26)+AV18</f>
        <v>55.7664951430814</v>
      </c>
      <c r="AW25" s="32" t="n">
        <f aca="false">AV25*(1-Assumptions!$D$26)+AW18</f>
        <v>56.7723327645044</v>
      </c>
      <c r="AX25" s="32" t="n">
        <f aca="false">AW25*(1-Assumptions!$D$26)+AX18</f>
        <v>57.7530244453918</v>
      </c>
      <c r="AY25" s="32" t="n">
        <f aca="false">AX25*(1-Assumptions!$D$26)+AY18</f>
        <v>58.709198834257</v>
      </c>
      <c r="AZ25" s="32" t="n">
        <f aca="false">AY25*(1-Assumptions!$D$26)+AZ18</f>
        <v>59.6414688634005</v>
      </c>
      <c r="BA25" s="32" t="n">
        <f aca="false">AZ25*(1-Assumptions!$D$26)+BA18</f>
        <v>60.5504321418155</v>
      </c>
      <c r="BB25" s="32" t="n">
        <f aca="false">BA25*(1-Assumptions!$D$26)+BB18</f>
        <v>61.4366713382701</v>
      </c>
      <c r="BC25" s="32" t="n">
        <f aca="false">BB25*(1-Assumptions!$D$26)+BC18</f>
        <v>62.3007545548134</v>
      </c>
      <c r="BD25" s="32" t="n">
        <f aca="false">BC25*(1-Assumptions!$D$26)+BD18</f>
        <v>63.143235690943</v>
      </c>
      <c r="BE25" s="32" t="n">
        <f aca="false">BD25*(1-Assumptions!$D$26)+BE18</f>
        <v>63.9646547986695</v>
      </c>
      <c r="BF25" s="32" t="n">
        <f aca="false">BE25*(1-Assumptions!$D$26)+BF18</f>
        <v>64.7655384287027</v>
      </c>
      <c r="BG25" s="32" t="n">
        <f aca="false">BF25*(1-Assumptions!$D$26)+BG18</f>
        <v>65.5463999679852</v>
      </c>
      <c r="BH25" s="32" t="n">
        <f aca="false">BG25*(1-Assumptions!$D$26)+BH18</f>
        <v>66.3077399687855</v>
      </c>
      <c r="BI25" s="32" t="n">
        <f aca="false">BH25*(1-Assumptions!$D$26)+BI18</f>
        <v>67.0500464695659</v>
      </c>
      <c r="BJ25" s="32" t="n">
        <f aca="false">BI25*(1-Assumptions!$D$26)+BJ18</f>
        <v>67.7737953078268</v>
      </c>
    </row>
    <row r="26" customFormat="false" ht="15" hidden="false" customHeight="false" outlineLevel="0" collapsed="false">
      <c r="A26" s="5" t="s">
        <v>48</v>
      </c>
      <c r="C26" s="32" t="n">
        <f aca="false">C19</f>
        <v>0</v>
      </c>
      <c r="D26" s="32" t="n">
        <f aca="false">C26*(1-Assumptions!$D$26)+D19</f>
        <v>0</v>
      </c>
      <c r="E26" s="32" t="n">
        <f aca="false">D26*(1-Assumptions!$D$26)+E19</f>
        <v>0</v>
      </c>
      <c r="F26" s="32" t="n">
        <f aca="false">E26*(1-Assumptions!$D$26)+F19</f>
        <v>0</v>
      </c>
      <c r="G26" s="32" t="n">
        <f aca="false">F26*(1-Assumptions!$D$26)+G19</f>
        <v>0</v>
      </c>
      <c r="H26" s="32" t="n">
        <f aca="false">G26*(1-Assumptions!$D$26)+H19</f>
        <v>0</v>
      </c>
      <c r="I26" s="32" t="n">
        <f aca="false">H26*(1-Assumptions!$D$26)+I19</f>
        <v>0</v>
      </c>
      <c r="J26" s="32" t="n">
        <f aca="false">I26*(1-Assumptions!$D$26)+J19</f>
        <v>0</v>
      </c>
      <c r="K26" s="32" t="n">
        <f aca="false">J26*(1-Assumptions!$D$26)+K19</f>
        <v>0</v>
      </c>
      <c r="L26" s="32" t="n">
        <f aca="false">K26*(1-Assumptions!$D$26)+L19</f>
        <v>0</v>
      </c>
      <c r="M26" s="32" t="n">
        <f aca="false">L26*(1-Assumptions!$D$26)+M19</f>
        <v>0</v>
      </c>
      <c r="N26" s="32" t="n">
        <f aca="false">M26*(1-Assumptions!$D$26)+N19</f>
        <v>0</v>
      </c>
      <c r="O26" s="32" t="n">
        <f aca="false">N26*(1-Assumptions!$D$26)+O19</f>
        <v>0</v>
      </c>
      <c r="P26" s="32" t="n">
        <f aca="false">O26*(1-Assumptions!$D$26)+P19</f>
        <v>0</v>
      </c>
      <c r="Q26" s="32" t="n">
        <f aca="false">P26*(1-Assumptions!$D$26)+Q19</f>
        <v>0</v>
      </c>
      <c r="R26" s="32" t="n">
        <f aca="false">Q26*(1-Assumptions!$D$26)+R19</f>
        <v>0</v>
      </c>
      <c r="S26" s="32" t="n">
        <f aca="false">R26*(1-Assumptions!$D$26)+S19</f>
        <v>0</v>
      </c>
      <c r="T26" s="32" t="n">
        <f aca="false">S26*(1-Assumptions!$D$26)+T19</f>
        <v>0</v>
      </c>
      <c r="U26" s="32" t="n">
        <f aca="false">T26*(1-Assumptions!$D$26)+U19</f>
        <v>0.1446375</v>
      </c>
      <c r="V26" s="32" t="n">
        <f aca="false">U26*(1-Assumptions!$D$26)+V19</f>
        <v>0.4302965625</v>
      </c>
      <c r="W26" s="32" t="n">
        <f aca="false">V26*(1-Assumptions!$D$26)+W19</f>
        <v>0.8534516484375</v>
      </c>
      <c r="X26" s="32" t="n">
        <f aca="false">W26*(1-Assumptions!$D$26)+X19</f>
        <v>1.41066535722656</v>
      </c>
      <c r="Y26" s="32" t="n">
        <f aca="false">X26*(1-Assumptions!$D$26)+Y19</f>
        <v>2.0985862232959</v>
      </c>
      <c r="Z26" s="32" t="n">
        <f aca="false">Y26*(1-Assumptions!$D$26)+Z19</f>
        <v>2.9139465677135</v>
      </c>
      <c r="AA26" s="32" t="n">
        <f aca="false">Z26*(1-Assumptions!$D$26)+AA19</f>
        <v>3.85356040352066</v>
      </c>
      <c r="AB26" s="32" t="n">
        <f aca="false">AA26*(1-Assumptions!$D$26)+AB19</f>
        <v>4.91432139343265</v>
      </c>
      <c r="AC26" s="32" t="n">
        <f aca="false">AB26*(1-Assumptions!$D$26)+AC19</f>
        <v>6.09320085859683</v>
      </c>
      <c r="AD26" s="32" t="n">
        <f aca="false">AC26*(1-Assumptions!$D$26)+AD19</f>
        <v>7.38724583713191</v>
      </c>
      <c r="AE26" s="32" t="n">
        <f aca="false">AD26*(1-Assumptions!$D$26)+AE19</f>
        <v>8.79357719120361</v>
      </c>
      <c r="AF26" s="32" t="n">
        <f aca="false">AE26*(1-Assumptions!$D$26)+AF19</f>
        <v>10.3093877614235</v>
      </c>
      <c r="AG26" s="32" t="n">
        <f aca="false">AF26*(1-Assumptions!$D$26)+AG19</f>
        <v>11.7873030673879</v>
      </c>
      <c r="AH26" s="32" t="n">
        <f aca="false">AG26*(1-Assumptions!$D$26)+AH19</f>
        <v>13.2282704907032</v>
      </c>
      <c r="AI26" s="32" t="n">
        <f aca="false">AH26*(1-Assumptions!$D$26)+AI19</f>
        <v>14.6332137284357</v>
      </c>
      <c r="AJ26" s="32" t="n">
        <f aca="false">AI26*(1-Assumptions!$D$26)+AJ19</f>
        <v>16.0030333852248</v>
      </c>
      <c r="AK26" s="32" t="n">
        <f aca="false">AJ26*(1-Assumptions!$D$26)+AK19</f>
        <v>17.3386075505941</v>
      </c>
      <c r="AL26" s="32" t="n">
        <f aca="false">AK26*(1-Assumptions!$D$26)+AL19</f>
        <v>18.6407923618293</v>
      </c>
      <c r="AM26" s="32" t="n">
        <f aca="false">AL26*(1-Assumptions!$D$26)+AM19</f>
        <v>19.9104225527836</v>
      </c>
      <c r="AN26" s="32" t="n">
        <f aca="false">AM26*(1-Assumptions!$D$26)+AN19</f>
        <v>21.148311988964</v>
      </c>
      <c r="AO26" s="32" t="n">
        <f aca="false">AN26*(1-Assumptions!$D$26)+AO19</f>
        <v>22.3552541892399</v>
      </c>
      <c r="AP26" s="32" t="n">
        <f aca="false">AO26*(1-Assumptions!$D$26)+AP19</f>
        <v>23.5320228345089</v>
      </c>
      <c r="AQ26" s="32" t="n">
        <f aca="false">AP26*(1-Assumptions!$D$26)+AQ19</f>
        <v>24.6793722636461</v>
      </c>
      <c r="AR26" s="32" t="n">
        <f aca="false">AQ26*(1-Assumptions!$D$26)+AR19</f>
        <v>25.798037957055</v>
      </c>
      <c r="AS26" s="32" t="n">
        <f aca="false">AR26*(1-Assumptions!$D$26)+AS19</f>
        <v>26.8887370081286</v>
      </c>
      <c r="AT26" s="32" t="n">
        <f aca="false">AS26*(1-Assumptions!$D$26)+AT19</f>
        <v>27.9521685829254</v>
      </c>
      <c r="AU26" s="32" t="n">
        <f aca="false">AT26*(1-Assumptions!$D$26)+AU19</f>
        <v>28.9890143683523</v>
      </c>
      <c r="AV26" s="32" t="n">
        <f aca="false">AU26*(1-Assumptions!$D$26)+AV19</f>
        <v>29.9999390091435</v>
      </c>
      <c r="AW26" s="32" t="n">
        <f aca="false">AV26*(1-Assumptions!$D$26)+AW19</f>
        <v>30.9855905339149</v>
      </c>
      <c r="AX26" s="32" t="n">
        <f aca="false">AW26*(1-Assumptions!$D$26)+AX19</f>
        <v>31.946600770567</v>
      </c>
      <c r="AY26" s="32" t="n">
        <f aca="false">AX26*(1-Assumptions!$D$26)+AY19</f>
        <v>32.8835857513028</v>
      </c>
      <c r="AZ26" s="32" t="n">
        <f aca="false">AY26*(1-Assumptions!$D$26)+AZ19</f>
        <v>33.7971461075203</v>
      </c>
      <c r="BA26" s="32" t="n">
        <f aca="false">AZ26*(1-Assumptions!$D$26)+BA19</f>
        <v>34.6878674548323</v>
      </c>
      <c r="BB26" s="32" t="n">
        <f aca="false">BA26*(1-Assumptions!$D$26)+BB19</f>
        <v>35.5563207684615</v>
      </c>
      <c r="BC26" s="32" t="n">
        <f aca="false">BB26*(1-Assumptions!$D$26)+BC19</f>
        <v>36.4030627492499</v>
      </c>
      <c r="BD26" s="32" t="n">
        <f aca="false">BC26*(1-Assumptions!$D$26)+BD19</f>
        <v>37.2286361805187</v>
      </c>
      <c r="BE26" s="32" t="n">
        <f aca="false">BD26*(1-Assumptions!$D$26)+BE19</f>
        <v>38.0335702760057</v>
      </c>
      <c r="BF26" s="32" t="n">
        <f aca="false">BE26*(1-Assumptions!$D$26)+BF19</f>
        <v>38.8183810191056</v>
      </c>
      <c r="BG26" s="32" t="n">
        <f aca="false">BF26*(1-Assumptions!$D$26)+BG19</f>
        <v>39.5835714936279</v>
      </c>
      <c r="BH26" s="32" t="n">
        <f aca="false">BG26*(1-Assumptions!$D$26)+BH19</f>
        <v>40.3296322062872</v>
      </c>
      <c r="BI26" s="32" t="n">
        <f aca="false">BH26*(1-Assumptions!$D$26)+BI19</f>
        <v>41.05704140113</v>
      </c>
      <c r="BJ26" s="32" t="n">
        <f aca="false">BI26*(1-Assumptions!$D$26)+BJ19</f>
        <v>41.7662653661018</v>
      </c>
    </row>
    <row r="27" customFormat="false" ht="15" hidden="false" customHeight="false" outlineLevel="0" collapsed="false">
      <c r="A27" s="5" t="s">
        <v>50</v>
      </c>
      <c r="C27" s="32" t="n">
        <f aca="false">C20</f>
        <v>0</v>
      </c>
      <c r="D27" s="32" t="n">
        <f aca="false">C27*(1-Assumptions!$D$26)+D20</f>
        <v>0</v>
      </c>
      <c r="E27" s="32" t="n">
        <f aca="false">D27*(1-Assumptions!$D$26)+E20</f>
        <v>0</v>
      </c>
      <c r="F27" s="32" t="n">
        <f aca="false">E27*(1-Assumptions!$D$26)+F20</f>
        <v>0</v>
      </c>
      <c r="G27" s="32" t="n">
        <f aca="false">F27*(1-Assumptions!$D$26)+G20</f>
        <v>0</v>
      </c>
      <c r="H27" s="32" t="n">
        <f aca="false">G27*(1-Assumptions!$D$26)+H20</f>
        <v>0</v>
      </c>
      <c r="I27" s="32" t="n">
        <f aca="false">H27*(1-Assumptions!$D$26)+I20</f>
        <v>0</v>
      </c>
      <c r="J27" s="32" t="n">
        <f aca="false">I27*(1-Assumptions!$D$26)+J20</f>
        <v>0</v>
      </c>
      <c r="K27" s="32" t="n">
        <f aca="false">J27*(1-Assumptions!$D$26)+K20</f>
        <v>0</v>
      </c>
      <c r="L27" s="32" t="n">
        <f aca="false">K27*(1-Assumptions!$D$26)+L20</f>
        <v>0</v>
      </c>
      <c r="M27" s="32" t="n">
        <f aca="false">L27*(1-Assumptions!$D$26)+M20</f>
        <v>0</v>
      </c>
      <c r="N27" s="32" t="n">
        <f aca="false">M27*(1-Assumptions!$D$26)+N20</f>
        <v>0</v>
      </c>
      <c r="O27" s="32" t="n">
        <f aca="false">N27*(1-Assumptions!$D$26)+O20</f>
        <v>0</v>
      </c>
      <c r="P27" s="32" t="n">
        <f aca="false">O27*(1-Assumptions!$D$26)+P20</f>
        <v>0</v>
      </c>
      <c r="Q27" s="32" t="n">
        <f aca="false">P27*(1-Assumptions!$D$26)+Q20</f>
        <v>0</v>
      </c>
      <c r="R27" s="32" t="n">
        <f aca="false">Q27*(1-Assumptions!$D$26)+R20</f>
        <v>0</v>
      </c>
      <c r="S27" s="32" t="n">
        <f aca="false">R27*(1-Assumptions!$D$26)+S20</f>
        <v>0</v>
      </c>
      <c r="T27" s="32" t="n">
        <f aca="false">S27*(1-Assumptions!$D$26)+T20</f>
        <v>0</v>
      </c>
      <c r="U27" s="32" t="n">
        <f aca="false">T27*(1-Assumptions!$D$26)+U20</f>
        <v>0.102083333333333</v>
      </c>
      <c r="V27" s="32" t="n">
        <f aca="false">U27*(1-Assumptions!$D$26)+V20</f>
        <v>0.303697916666667</v>
      </c>
      <c r="W27" s="32" t="n">
        <f aca="false">V27*(1-Assumptions!$D$26)+W20</f>
        <v>0.60235546875</v>
      </c>
      <c r="X27" s="32" t="n">
        <f aca="false">W27*(1-Assumptions!$D$26)+X20</f>
        <v>0.995629915364583</v>
      </c>
      <c r="Y27" s="32" t="n">
        <f aca="false">X27*(1-Assumptions!$D$26)+Y20</f>
        <v>1.48115583414714</v>
      </c>
      <c r="Z27" s="32" t="n">
        <f aca="false">Y27*(1-Assumptions!$D$26)+Z20</f>
        <v>2.05662693829346</v>
      </c>
      <c r="AA27" s="32" t="n">
        <f aca="false">Z27*(1-Assumptions!$D$26)+AA20</f>
        <v>2.71979459816945</v>
      </c>
      <c r="AB27" s="32" t="n">
        <f aca="false">AA27*(1-Assumptions!$D$26)+AB20</f>
        <v>3.46846639988188</v>
      </c>
      <c r="AC27" s="32" t="n">
        <f aca="false">AB27*(1-Assumptions!$D$26)+AC20</f>
        <v>4.30050473988484</v>
      </c>
      <c r="AD27" s="32" t="n">
        <f aca="false">AC27*(1-Assumptions!$D$26)+AD20</f>
        <v>5.21382545472105</v>
      </c>
      <c r="AE27" s="32" t="n">
        <f aca="false">AD27*(1-Assumptions!$D$26)+AE20</f>
        <v>6.20639648501969</v>
      </c>
      <c r="AF27" s="32" t="n">
        <f aca="false">AE27*(1-Assumptions!$D$26)+AF20</f>
        <v>7.2762365728942</v>
      </c>
      <c r="AG27" s="32" t="n">
        <f aca="false">AF27*(1-Assumptions!$D$26)+AG20</f>
        <v>8.31933065857184</v>
      </c>
      <c r="AH27" s="32" t="n">
        <f aca="false">AG27*(1-Assumptions!$D$26)+AH20</f>
        <v>9.33634739210755</v>
      </c>
      <c r="AI27" s="32" t="n">
        <f aca="false">AH27*(1-Assumptions!$D$26)+AI20</f>
        <v>10.3279387073049</v>
      </c>
      <c r="AJ27" s="32" t="n">
        <f aca="false">AI27*(1-Assumptions!$D$26)+AJ20</f>
        <v>11.2947402396222</v>
      </c>
      <c r="AK27" s="32" t="n">
        <f aca="false">AJ27*(1-Assumptions!$D$26)+AK20</f>
        <v>12.2373717336317</v>
      </c>
      <c r="AL27" s="32" t="n">
        <f aca="false">AK27*(1-Assumptions!$D$26)+AL20</f>
        <v>13.1564374402909</v>
      </c>
      <c r="AM27" s="32" t="n">
        <f aca="false">AL27*(1-Assumptions!$D$26)+AM20</f>
        <v>14.0525265042836</v>
      </c>
      <c r="AN27" s="32" t="n">
        <f aca="false">AM27*(1-Assumptions!$D$26)+AN20</f>
        <v>14.9262133416765</v>
      </c>
      <c r="AO27" s="32" t="n">
        <f aca="false">AN27*(1-Assumptions!$D$26)+AO20</f>
        <v>15.7780580081346</v>
      </c>
      <c r="AP27" s="32" t="n">
        <f aca="false">AO27*(1-Assumptions!$D$26)+AP20</f>
        <v>16.6086065579312</v>
      </c>
      <c r="AQ27" s="32" t="n">
        <f aca="false">AP27*(1-Assumptions!$D$26)+AQ20</f>
        <v>17.418391393983</v>
      </c>
      <c r="AR27" s="32" t="n">
        <f aca="false">AQ27*(1-Assumptions!$D$26)+AR20</f>
        <v>18.2079316091334</v>
      </c>
      <c r="AS27" s="32" t="n">
        <f aca="false">AR27*(1-Assumptions!$D$26)+AS20</f>
        <v>18.9777333189051</v>
      </c>
      <c r="AT27" s="32" t="n">
        <f aca="false">AS27*(1-Assumptions!$D$26)+AT20</f>
        <v>19.7282899859324</v>
      </c>
      <c r="AU27" s="32" t="n">
        <f aca="false">AT27*(1-Assumptions!$D$26)+AU20</f>
        <v>20.4600827362841</v>
      </c>
      <c r="AV27" s="32" t="n">
        <f aca="false">AU27*(1-Assumptions!$D$26)+AV20</f>
        <v>21.173580667877</v>
      </c>
      <c r="AW27" s="32" t="n">
        <f aca="false">AV27*(1-Assumptions!$D$26)+AW20</f>
        <v>21.8692411511801</v>
      </c>
      <c r="AX27" s="32" t="n">
        <f aca="false">AW27*(1-Assumptions!$D$26)+AX20</f>
        <v>22.5475101224006</v>
      </c>
      <c r="AY27" s="32" t="n">
        <f aca="false">AX27*(1-Assumptions!$D$26)+AY20</f>
        <v>23.2088223693406</v>
      </c>
      <c r="AZ27" s="32" t="n">
        <f aca="false">AY27*(1-Assumptions!$D$26)+AZ20</f>
        <v>23.8536018101071</v>
      </c>
      <c r="BA27" s="32" t="n">
        <f aca="false">AZ27*(1-Assumptions!$D$26)+BA20</f>
        <v>24.4822617648544</v>
      </c>
      <c r="BB27" s="32" t="n">
        <f aca="false">BA27*(1-Assumptions!$D$26)+BB20</f>
        <v>25.095205220733</v>
      </c>
      <c r="BC27" s="32" t="n">
        <f aca="false">BB27*(1-Assumptions!$D$26)+BC20</f>
        <v>25.6928250902147</v>
      </c>
      <c r="BD27" s="32" t="n">
        <f aca="false">BC27*(1-Assumptions!$D$26)+BD20</f>
        <v>26.2755044629593</v>
      </c>
      <c r="BE27" s="32" t="n">
        <f aca="false">BD27*(1-Assumptions!$D$26)+BE20</f>
        <v>26.8436168513854</v>
      </c>
      <c r="BF27" s="32" t="n">
        <f aca="false">BE27*(1-Assumptions!$D$26)+BF20</f>
        <v>27.3975264301007</v>
      </c>
      <c r="BG27" s="32" t="n">
        <f aca="false">BF27*(1-Assumptions!$D$26)+BG20</f>
        <v>27.9375882693482</v>
      </c>
      <c r="BH27" s="32" t="n">
        <f aca="false">BG27*(1-Assumptions!$D$26)+BH20</f>
        <v>28.4641485626145</v>
      </c>
      <c r="BI27" s="32" t="n">
        <f aca="false">BH27*(1-Assumptions!$D$26)+BI20</f>
        <v>28.9775448485491</v>
      </c>
      <c r="BJ27" s="32" t="n">
        <f aca="false">BI27*(1-Assumptions!$D$26)+BJ20</f>
        <v>29.4781062273354</v>
      </c>
    </row>
    <row r="29" customFormat="false" ht="15" hidden="false" customHeight="false" outlineLevel="0" collapsed="false">
      <c r="A29" s="10" t="s">
        <v>120</v>
      </c>
      <c r="C29" s="33" t="n">
        <f aca="false">SUM(C16:C20)</f>
        <v>1.92677916666667</v>
      </c>
      <c r="D29" s="33" t="n">
        <f aca="false">SUM(D16:D20)</f>
        <v>3.85355833333333</v>
      </c>
      <c r="E29" s="33" t="n">
        <f aca="false">SUM(E16:E20)</f>
        <v>5.7803375</v>
      </c>
      <c r="F29" s="33" t="n">
        <f aca="false">SUM(F16:F20)</f>
        <v>7.70711666666667</v>
      </c>
      <c r="G29" s="33" t="n">
        <f aca="false">SUM(G16:G20)</f>
        <v>9.63389583333333</v>
      </c>
      <c r="H29" s="33" t="n">
        <f aca="false">SUM(H16:H20)</f>
        <v>11.560675</v>
      </c>
      <c r="I29" s="33" t="n">
        <f aca="false">SUM(I16:I20)</f>
        <v>14.1424541666667</v>
      </c>
      <c r="J29" s="33" t="n">
        <f aca="false">SUM(J16:J20)</f>
        <v>16.7242333333333</v>
      </c>
      <c r="K29" s="33" t="n">
        <f aca="false">SUM(K16:K20)</f>
        <v>19.3060125</v>
      </c>
      <c r="L29" s="33" t="n">
        <f aca="false">SUM(L16:L20)</f>
        <v>21.8877916666667</v>
      </c>
      <c r="M29" s="33" t="n">
        <f aca="false">SUM(M16:M20)</f>
        <v>24.4695708333333</v>
      </c>
      <c r="N29" s="33" t="n">
        <f aca="false">SUM(N16:N20)</f>
        <v>27.05135</v>
      </c>
      <c r="O29" s="33" t="n">
        <f aca="false">SUM(O16:O20)</f>
        <v>27.70635</v>
      </c>
      <c r="P29" s="33" t="n">
        <f aca="false">SUM(P16:P20)</f>
        <v>28.36135</v>
      </c>
      <c r="Q29" s="33" t="n">
        <f aca="false">SUM(Q16:Q20)</f>
        <v>29.01635</v>
      </c>
      <c r="R29" s="33" t="n">
        <f aca="false">SUM(R16:R20)</f>
        <v>29.67135</v>
      </c>
      <c r="S29" s="33" t="n">
        <f aca="false">SUM(S16:S20)</f>
        <v>30.32635</v>
      </c>
      <c r="T29" s="33" t="n">
        <f aca="false">SUM(T16:T20)</f>
        <v>30.98135</v>
      </c>
      <c r="U29" s="33" t="n">
        <f aca="false">SUM(U16:U20)</f>
        <v>31.2280708333333</v>
      </c>
      <c r="V29" s="33" t="n">
        <f aca="false">SUM(V16:V20)</f>
        <v>31.4747916666667</v>
      </c>
      <c r="W29" s="33" t="n">
        <f aca="false">SUM(W16:W20)</f>
        <v>31.7215125</v>
      </c>
      <c r="X29" s="33" t="n">
        <f aca="false">SUM(X16:X20)</f>
        <v>31.9682333333333</v>
      </c>
      <c r="Y29" s="33" t="n">
        <f aca="false">SUM(Y16:Y20)</f>
        <v>32.2149541666667</v>
      </c>
      <c r="Z29" s="33" t="n">
        <f aca="false">SUM(Z16:Z20)</f>
        <v>32.461675</v>
      </c>
      <c r="AA29" s="33" t="n">
        <f aca="false">SUM(AA16:AA20)</f>
        <v>32.7083958333333</v>
      </c>
      <c r="AB29" s="33" t="n">
        <f aca="false">SUM(AB16:AB20)</f>
        <v>32.9551166666667</v>
      </c>
      <c r="AC29" s="33" t="n">
        <f aca="false">SUM(AC16:AC20)</f>
        <v>33.2018375</v>
      </c>
      <c r="AD29" s="33" t="n">
        <f aca="false">SUM(AD16:AD20)</f>
        <v>33.4485583333333</v>
      </c>
      <c r="AE29" s="33" t="n">
        <f aca="false">SUM(AE16:AE20)</f>
        <v>33.6952791666667</v>
      </c>
      <c r="AF29" s="33" t="n">
        <f aca="false">SUM(AF16:AF20)</f>
        <v>33.942</v>
      </c>
      <c r="AG29" s="33" t="n">
        <f aca="false">SUM(AG16:AG20)</f>
        <v>33.942</v>
      </c>
      <c r="AH29" s="33" t="n">
        <f aca="false">SUM(AH16:AH20)</f>
        <v>33.942</v>
      </c>
      <c r="AI29" s="33" t="n">
        <f aca="false">SUM(AI16:AI20)</f>
        <v>33.942</v>
      </c>
      <c r="AJ29" s="33" t="n">
        <f aca="false">SUM(AJ16:AJ20)</f>
        <v>33.942</v>
      </c>
      <c r="AK29" s="33" t="n">
        <f aca="false">SUM(AK16:AK20)</f>
        <v>33.942</v>
      </c>
      <c r="AL29" s="33" t="n">
        <f aca="false">SUM(AL16:AL20)</f>
        <v>33.942</v>
      </c>
      <c r="AM29" s="33" t="n">
        <f aca="false">SUM(AM16:AM20)</f>
        <v>33.942</v>
      </c>
      <c r="AN29" s="33" t="n">
        <f aca="false">SUM(AN16:AN20)</f>
        <v>33.942</v>
      </c>
      <c r="AO29" s="33" t="n">
        <f aca="false">SUM(AO16:AO20)</f>
        <v>33.942</v>
      </c>
      <c r="AP29" s="33" t="n">
        <f aca="false">SUM(AP16:AP20)</f>
        <v>33.942</v>
      </c>
      <c r="AQ29" s="33" t="n">
        <f aca="false">SUM(AQ16:AQ20)</f>
        <v>33.942</v>
      </c>
      <c r="AR29" s="33" t="n">
        <f aca="false">SUM(AR16:AR20)</f>
        <v>33.942</v>
      </c>
      <c r="AS29" s="33" t="n">
        <f aca="false">SUM(AS16:AS20)</f>
        <v>33.942</v>
      </c>
      <c r="AT29" s="33" t="n">
        <f aca="false">SUM(AT16:AT20)</f>
        <v>33.942</v>
      </c>
      <c r="AU29" s="33" t="n">
        <f aca="false">SUM(AU16:AU20)</f>
        <v>33.942</v>
      </c>
      <c r="AV29" s="33" t="n">
        <f aca="false">SUM(AV16:AV20)</f>
        <v>33.942</v>
      </c>
      <c r="AW29" s="33" t="n">
        <f aca="false">SUM(AW16:AW20)</f>
        <v>33.942</v>
      </c>
      <c r="AX29" s="33" t="n">
        <f aca="false">SUM(AX16:AX20)</f>
        <v>33.942</v>
      </c>
      <c r="AY29" s="33" t="n">
        <f aca="false">SUM(AY16:AY20)</f>
        <v>33.942</v>
      </c>
      <c r="AZ29" s="33" t="n">
        <f aca="false">SUM(AZ16:AZ20)</f>
        <v>33.942</v>
      </c>
      <c r="BA29" s="33" t="n">
        <f aca="false">SUM(BA16:BA20)</f>
        <v>33.942</v>
      </c>
      <c r="BB29" s="33" t="n">
        <f aca="false">SUM(BB16:BB20)</f>
        <v>33.942</v>
      </c>
      <c r="BC29" s="33" t="n">
        <f aca="false">SUM(BC16:BC20)</f>
        <v>33.942</v>
      </c>
      <c r="BD29" s="33" t="n">
        <f aca="false">SUM(BD16:BD20)</f>
        <v>33.942</v>
      </c>
      <c r="BE29" s="33" t="n">
        <f aca="false">SUM(BE16:BE20)</f>
        <v>33.942</v>
      </c>
      <c r="BF29" s="33" t="n">
        <f aca="false">SUM(BF16:BF20)</f>
        <v>33.942</v>
      </c>
      <c r="BG29" s="33" t="n">
        <f aca="false">SUM(BG16:BG20)</f>
        <v>33.942</v>
      </c>
      <c r="BH29" s="33" t="n">
        <f aca="false">SUM(BH16:BH20)</f>
        <v>33.942</v>
      </c>
      <c r="BI29" s="33" t="n">
        <f aca="false">SUM(BI16:BI20)</f>
        <v>33.942</v>
      </c>
      <c r="BJ29" s="33" t="n">
        <f aca="false">SUM(BJ16:BJ20)</f>
        <v>33.942</v>
      </c>
    </row>
    <row r="30" customFormat="false" ht="15" hidden="false" customHeight="false" outlineLevel="0" collapsed="false">
      <c r="A30" s="5" t="s">
        <v>121</v>
      </c>
      <c r="C30" s="32" t="n">
        <v>0</v>
      </c>
      <c r="D30" s="32" t="n">
        <f aca="false">C31*Assumptions!$D$26</f>
        <v>0.0481694791666667</v>
      </c>
      <c r="E30" s="32" t="n">
        <f aca="false">D31*Assumptions!$D$26</f>
        <v>0.143304200520833</v>
      </c>
      <c r="F30" s="32" t="n">
        <f aca="false">E31*Assumptions!$D$26</f>
        <v>0.284230033007812</v>
      </c>
      <c r="G30" s="32" t="n">
        <f aca="false">F31*Assumptions!$D$26</f>
        <v>0.469802198849284</v>
      </c>
      <c r="H30" s="32" t="n">
        <f aca="false">G31*Assumptions!$D$26</f>
        <v>0.698904539711385</v>
      </c>
      <c r="I30" s="32" t="n">
        <f aca="false">H31*Assumptions!$D$26</f>
        <v>0.970448801218601</v>
      </c>
      <c r="J30" s="32" t="n">
        <f aca="false">I31*Assumptions!$D$26</f>
        <v>1.2997489353548</v>
      </c>
      <c r="K30" s="32" t="n">
        <f aca="false">J31*Assumptions!$D$26</f>
        <v>1.68536104530427</v>
      </c>
      <c r="L30" s="32" t="n">
        <f aca="false">K31*Assumptions!$D$26</f>
        <v>2.12587733167166</v>
      </c>
      <c r="M30" s="32" t="n">
        <f aca="false">L31*Assumptions!$D$26</f>
        <v>2.61992519004653</v>
      </c>
      <c r="N30" s="32" t="n">
        <f aca="false">M31*Assumptions!$D$26</f>
        <v>3.1661663311287</v>
      </c>
      <c r="O30" s="32" t="n">
        <f aca="false">N31*Assumptions!$D$26</f>
        <v>3.76329592285049</v>
      </c>
      <c r="P30" s="32" t="n">
        <f aca="false">O31*Assumptions!$D$26</f>
        <v>4.36187227477922</v>
      </c>
      <c r="Q30" s="32" t="n">
        <f aca="false">P31*Assumptions!$D$26</f>
        <v>4.96185921790974</v>
      </c>
      <c r="R30" s="32" t="n">
        <f aca="false">Q31*Assumptions!$D$26</f>
        <v>5.563221487462</v>
      </c>
      <c r="S30" s="32" t="n">
        <f aca="false">R31*Assumptions!$D$26</f>
        <v>6.16592470027545</v>
      </c>
      <c r="T30" s="32" t="n">
        <f aca="false">S31*Assumptions!$D$26</f>
        <v>6.76993533276856</v>
      </c>
      <c r="U30" s="32" t="n">
        <f aca="false">T31*Assumptions!$D$26</f>
        <v>7.37522069944935</v>
      </c>
      <c r="V30" s="32" t="n">
        <f aca="false">U31*Assumptions!$D$26</f>
        <v>7.97154195279645</v>
      </c>
      <c r="W30" s="32" t="n">
        <f aca="false">V31*Assumptions!$D$26</f>
        <v>8.5591231956432</v>
      </c>
      <c r="X30" s="32" t="n">
        <f aca="false">W31*Assumptions!$D$26</f>
        <v>9.13818292825212</v>
      </c>
      <c r="Y30" s="32" t="n">
        <f aca="false">X31*Assumptions!$D$26</f>
        <v>9.70893418837915</v>
      </c>
      <c r="Z30" s="32" t="n">
        <f aca="false">Y31*Assumptions!$D$26</f>
        <v>10.2715846878363</v>
      </c>
      <c r="AA30" s="32" t="n">
        <f aca="false">Z31*Assumptions!$D$26</f>
        <v>10.8263369456404</v>
      </c>
      <c r="AB30" s="32" t="n">
        <f aca="false">AA31*Assumptions!$D$26</f>
        <v>11.3733884178328</v>
      </c>
      <c r="AC30" s="32" t="n">
        <f aca="false">AB31*Assumptions!$D$26</f>
        <v>11.9129316240536</v>
      </c>
      <c r="AD30" s="32" t="n">
        <f aca="false">AC31*Assumptions!$D$26</f>
        <v>12.4451542709523</v>
      </c>
      <c r="AE30" s="32" t="n">
        <f aca="false">AD31*Assumptions!$D$26</f>
        <v>12.9702393725118</v>
      </c>
      <c r="AF30" s="32" t="n">
        <f aca="false">AE31*Assumptions!$D$26</f>
        <v>13.4883653673657</v>
      </c>
      <c r="AG30" s="32" t="n">
        <f aca="false">AF31*Assumptions!$D$26</f>
        <v>13.9997062331815</v>
      </c>
      <c r="AH30" s="32" t="n">
        <f aca="false">AG31*Assumptions!$D$26</f>
        <v>14.498263577352</v>
      </c>
      <c r="AI30" s="32" t="n">
        <f aca="false">AH31*Assumptions!$D$26</f>
        <v>14.9843569879182</v>
      </c>
      <c r="AJ30" s="32" t="n">
        <f aca="false">AI31*Assumptions!$D$26</f>
        <v>15.4582980632202</v>
      </c>
      <c r="AK30" s="32" t="n">
        <f aca="false">AJ31*Assumptions!$D$26</f>
        <v>15.9203906116397</v>
      </c>
      <c r="AL30" s="32" t="n">
        <f aca="false">AK31*Assumptions!$D$26</f>
        <v>16.3709308463487</v>
      </c>
      <c r="AM30" s="32" t="n">
        <f aca="false">AL31*Assumptions!$D$26</f>
        <v>16.81020757519</v>
      </c>
      <c r="AN30" s="32" t="n">
        <f aca="false">AM31*Assumptions!$D$26</f>
        <v>17.2385023858103</v>
      </c>
      <c r="AO30" s="32" t="n">
        <f aca="false">AN31*Assumptions!$D$26</f>
        <v>17.656089826165</v>
      </c>
      <c r="AP30" s="32" t="n">
        <f aca="false">AO31*Assumptions!$D$26</f>
        <v>18.0632375805109</v>
      </c>
      <c r="AQ30" s="32" t="n">
        <f aca="false">AP31*Assumptions!$D$26</f>
        <v>18.4602066409981</v>
      </c>
      <c r="AR30" s="32" t="n">
        <f aca="false">AQ31*Assumptions!$D$26</f>
        <v>18.8472514749731</v>
      </c>
      <c r="AS30" s="32" t="n">
        <f aca="false">AR31*Assumptions!$D$26</f>
        <v>19.2246201880988</v>
      </c>
      <c r="AT30" s="32" t="n">
        <f aca="false">AS31*Assumptions!$D$26</f>
        <v>19.5925546833964</v>
      </c>
      <c r="AU30" s="32" t="n">
        <f aca="false">AT31*Assumptions!$D$26</f>
        <v>19.9512908163114</v>
      </c>
      <c r="AV30" s="32" t="n">
        <f aca="false">AU31*Assumptions!$D$26</f>
        <v>20.3010585459037</v>
      </c>
      <c r="AW30" s="32" t="n">
        <f aca="false">AV31*Assumptions!$D$26</f>
        <v>20.6420820822561</v>
      </c>
      <c r="AX30" s="32" t="n">
        <f aca="false">AW31*Assumptions!$D$26</f>
        <v>20.9745800301997</v>
      </c>
      <c r="AY30" s="32" t="n">
        <f aca="false">AX31*Assumptions!$D$26</f>
        <v>21.2987655294447</v>
      </c>
      <c r="AZ30" s="32" t="n">
        <f aca="false">AY31*Assumptions!$D$26</f>
        <v>21.6148463912086</v>
      </c>
      <c r="BA30" s="32" t="n">
        <f aca="false">AZ31*Assumptions!$D$26</f>
        <v>21.9230252314283</v>
      </c>
      <c r="BB30" s="32" t="n">
        <f aca="false">BA31*Assumptions!$D$26</f>
        <v>22.2234996006426</v>
      </c>
      <c r="BC30" s="32" t="n">
        <f aca="false">BB31*Assumptions!$D$26</f>
        <v>22.5164621106266</v>
      </c>
      <c r="BD30" s="32" t="n">
        <f aca="false">BC31*Assumptions!$D$26</f>
        <v>22.8021005578609</v>
      </c>
      <c r="BE30" s="32" t="n">
        <f aca="false">BD31*Assumptions!$D$26</f>
        <v>23.0805980439144</v>
      </c>
      <c r="BF30" s="32" t="n">
        <f aca="false">BE31*Assumptions!$D$26</f>
        <v>23.3521330928165</v>
      </c>
      <c r="BG30" s="32" t="n">
        <f aca="false">BF31*Assumptions!$D$26</f>
        <v>23.6168797654961</v>
      </c>
      <c r="BH30" s="32" t="n">
        <f aca="false">BG31*Assumptions!$D$26</f>
        <v>23.8750077713587</v>
      </c>
      <c r="BI30" s="32" t="n">
        <f aca="false">BH31*Assumptions!$D$26</f>
        <v>24.1266825770747</v>
      </c>
      <c r="BJ30" s="32" t="n">
        <f aca="false">BI31*Assumptions!$D$26</f>
        <v>24.3720655126479</v>
      </c>
    </row>
    <row r="31" customFormat="false" ht="15" hidden="false" customHeight="false" outlineLevel="0" collapsed="false">
      <c r="A31" s="10" t="s">
        <v>122</v>
      </c>
      <c r="C31" s="33" t="n">
        <f aca="false">SUM(C23:C27)</f>
        <v>1.92677916666667</v>
      </c>
      <c r="D31" s="33" t="n">
        <f aca="false">SUM(D23:D27)</f>
        <v>5.73216802083333</v>
      </c>
      <c r="E31" s="33" t="n">
        <f aca="false">SUM(E23:E27)</f>
        <v>11.3692013203125</v>
      </c>
      <c r="F31" s="33" t="n">
        <f aca="false">SUM(F23:F27)</f>
        <v>18.7920879539714</v>
      </c>
      <c r="G31" s="33" t="n">
        <f aca="false">SUM(G23:G27)</f>
        <v>27.9561815884554</v>
      </c>
      <c r="H31" s="33" t="n">
        <f aca="false">SUM(H23:H27)</f>
        <v>38.817952048744</v>
      </c>
      <c r="I31" s="33" t="n">
        <f aca="false">SUM(I23:I27)</f>
        <v>51.9899574141921</v>
      </c>
      <c r="J31" s="33" t="n">
        <f aca="false">SUM(J23:J27)</f>
        <v>67.4144418121706</v>
      </c>
      <c r="K31" s="33" t="n">
        <f aca="false">SUM(K23:K27)</f>
        <v>85.0350932668663</v>
      </c>
      <c r="L31" s="33" t="n">
        <f aca="false">SUM(L23:L27)</f>
        <v>104.797007601861</v>
      </c>
      <c r="M31" s="33" t="n">
        <f aca="false">SUM(M23:M27)</f>
        <v>126.646653245148</v>
      </c>
      <c r="N31" s="33" t="n">
        <f aca="false">SUM(N23:N27)</f>
        <v>150.531836914019</v>
      </c>
      <c r="O31" s="33" t="n">
        <f aca="false">SUM(O23:O27)</f>
        <v>174.474890991169</v>
      </c>
      <c r="P31" s="33" t="n">
        <f aca="false">SUM(P23:P27)</f>
        <v>198.47436871639</v>
      </c>
      <c r="Q31" s="33" t="n">
        <f aca="false">SUM(Q23:Q27)</f>
        <v>222.52885949848</v>
      </c>
      <c r="R31" s="33" t="n">
        <f aca="false">SUM(R23:R27)</f>
        <v>246.636988011018</v>
      </c>
      <c r="S31" s="33" t="n">
        <f aca="false">SUM(S23:S27)</f>
        <v>270.797413310743</v>
      </c>
      <c r="T31" s="33" t="n">
        <f aca="false">SUM(T23:T27)</f>
        <v>295.008827977974</v>
      </c>
      <c r="U31" s="33" t="n">
        <f aca="false">SUM(U23:U27)</f>
        <v>318.861678111858</v>
      </c>
      <c r="V31" s="33" t="n">
        <f aca="false">SUM(V23:V27)</f>
        <v>342.364927825728</v>
      </c>
      <c r="W31" s="33" t="n">
        <f aca="false">SUM(W23:W27)</f>
        <v>365.527317130085</v>
      </c>
      <c r="X31" s="33" t="n">
        <f aca="false">SUM(X23:X27)</f>
        <v>388.357367535166</v>
      </c>
      <c r="Y31" s="33" t="n">
        <f aca="false">SUM(Y23:Y27)</f>
        <v>410.863387513454</v>
      </c>
      <c r="Z31" s="33" t="n">
        <f aca="false">SUM(Z23:Z27)</f>
        <v>433.053477825617</v>
      </c>
      <c r="AA31" s="33" t="n">
        <f aca="false">SUM(AA23:AA27)</f>
        <v>454.93553671331</v>
      </c>
      <c r="AB31" s="33" t="n">
        <f aca="false">SUM(AB23:AB27)</f>
        <v>476.517264962144</v>
      </c>
      <c r="AC31" s="33" t="n">
        <f aca="false">SUM(AC23:AC27)</f>
        <v>497.806170838091</v>
      </c>
      <c r="AD31" s="33" t="n">
        <f aca="false">SUM(AD23:AD27)</f>
        <v>518.809574900472</v>
      </c>
      <c r="AE31" s="33" t="n">
        <f aca="false">SUM(AE23:AE27)</f>
        <v>539.534614694627</v>
      </c>
      <c r="AF31" s="33" t="n">
        <f aca="false">SUM(AF23:AF27)</f>
        <v>559.988249327261</v>
      </c>
      <c r="AG31" s="33" t="n">
        <f aca="false">SUM(AG23:AG27)</f>
        <v>579.930543094079</v>
      </c>
      <c r="AH31" s="33" t="n">
        <f aca="false">SUM(AH23:AH27)</f>
        <v>599.374279516727</v>
      </c>
      <c r="AI31" s="33" t="n">
        <f aca="false">SUM(AI23:AI27)</f>
        <v>618.331922528809</v>
      </c>
      <c r="AJ31" s="33" t="n">
        <f aca="false">SUM(AJ23:AJ27)</f>
        <v>636.815624465589</v>
      </c>
      <c r="AK31" s="33" t="n">
        <f aca="false">SUM(AK23:AK27)</f>
        <v>654.837233853949</v>
      </c>
      <c r="AL31" s="33" t="n">
        <f aca="false">SUM(AL23:AL27)</f>
        <v>672.408303007601</v>
      </c>
      <c r="AM31" s="33" t="n">
        <f aca="false">SUM(AM23:AM27)</f>
        <v>689.540095432411</v>
      </c>
      <c r="AN31" s="33" t="n">
        <f aca="false">SUM(AN23:AN27)</f>
        <v>706.2435930466</v>
      </c>
      <c r="AO31" s="33" t="n">
        <f aca="false">SUM(AO23:AO27)</f>
        <v>722.529503220435</v>
      </c>
      <c r="AP31" s="33" t="n">
        <f aca="false">SUM(AP23:AP27)</f>
        <v>738.408265639924</v>
      </c>
      <c r="AQ31" s="33" t="n">
        <f aca="false">SUM(AQ23:AQ27)</f>
        <v>753.890058998926</v>
      </c>
      <c r="AR31" s="33" t="n">
        <f aca="false">SUM(AR23:AR27)</f>
        <v>768.984807523953</v>
      </c>
      <c r="AS31" s="33" t="n">
        <f aca="false">SUM(AS23:AS27)</f>
        <v>783.702187335854</v>
      </c>
      <c r="AT31" s="33" t="n">
        <f aca="false">SUM(AT23:AT27)</f>
        <v>798.051632652458</v>
      </c>
      <c r="AU31" s="33" t="n">
        <f aca="false">SUM(AU23:AU27)</f>
        <v>812.042341836146</v>
      </c>
      <c r="AV31" s="33" t="n">
        <f aca="false">SUM(AV23:AV27)</f>
        <v>825.683283290242</v>
      </c>
      <c r="AW31" s="33" t="n">
        <f aca="false">SUM(AW23:AW27)</f>
        <v>838.983201207986</v>
      </c>
      <c r="AX31" s="33" t="n">
        <f aca="false">SUM(AX23:AX27)</f>
        <v>851.950621177787</v>
      </c>
      <c r="AY31" s="33" t="n">
        <f aca="false">SUM(AY23:AY27)</f>
        <v>864.593855648342</v>
      </c>
      <c r="AZ31" s="33" t="n">
        <f aca="false">SUM(AZ23:AZ27)</f>
        <v>876.921009257134</v>
      </c>
      <c r="BA31" s="33" t="n">
        <f aca="false">SUM(BA23:BA27)</f>
        <v>888.939984025705</v>
      </c>
      <c r="BB31" s="33" t="n">
        <f aca="false">SUM(BB23:BB27)</f>
        <v>900.658484425063</v>
      </c>
      <c r="BC31" s="33" t="n">
        <f aca="false">SUM(BC23:BC27)</f>
        <v>912.084022314436</v>
      </c>
      <c r="BD31" s="33" t="n">
        <f aca="false">SUM(BD23:BD27)</f>
        <v>923.223921756575</v>
      </c>
      <c r="BE31" s="33" t="n">
        <f aca="false">SUM(BE23:BE27)</f>
        <v>934.085323712661</v>
      </c>
      <c r="BF31" s="33" t="n">
        <f aca="false">SUM(BF23:BF27)</f>
        <v>944.675190619844</v>
      </c>
      <c r="BG31" s="33" t="n">
        <f aca="false">SUM(BG23:BG27)</f>
        <v>955.000310854348</v>
      </c>
      <c r="BH31" s="33" t="n">
        <f aca="false">SUM(BH23:BH27)</f>
        <v>965.067303082989</v>
      </c>
      <c r="BI31" s="33" t="n">
        <f aca="false">SUM(BI23:BI27)</f>
        <v>974.882620505915</v>
      </c>
      <c r="BJ31" s="33" t="n">
        <f aca="false">SUM(BJ23:BJ27)</f>
        <v>984.452554993267</v>
      </c>
    </row>
    <row r="33" customFormat="false" ht="15" hidden="false" customHeight="false" outlineLevel="0" collapsed="false">
      <c r="A33" s="10" t="s">
        <v>123</v>
      </c>
      <c r="C33" s="11" t="n">
        <f aca="false">SUMPRODUCT(C23:C27,Assumptions!$I$6:$I$10)*Assumptions!$B$22/Assumptions!$B$21*C6</f>
        <v>98.84377125</v>
      </c>
      <c r="D33" s="11" t="n">
        <f aca="false">SUMPRODUCT(D23:D27,Assumptions!$I$6:$I$10)*Assumptions!$B$22/Assumptions!$B$21*D6</f>
        <v>294.06021946875</v>
      </c>
      <c r="E33" s="11" t="n">
        <f aca="false">SUMPRODUCT(E23:E27,Assumptions!$I$6:$I$10)*Assumptions!$B$22/Assumptions!$B$21*E6</f>
        <v>583.240027732031</v>
      </c>
      <c r="F33" s="11" t="n">
        <f aca="false">SUMPRODUCT(F23:F27,Assumptions!$I$6:$I$10)*Assumptions!$B$22/Assumptions!$B$21*F6</f>
        <v>964.03411203873</v>
      </c>
      <c r="G33" s="11" t="n">
        <f aca="false">SUMPRODUCT(G23:G27,Assumptions!$I$6:$I$10)*Assumptions!$B$22/Assumptions!$B$21*G6</f>
        <v>1434.15211548776</v>
      </c>
      <c r="H33" s="11" t="n">
        <f aca="false">SUMPRODUCT(H23:H27,Assumptions!$I$6:$I$10)*Assumptions!$B$22/Assumptions!$B$21*H6</f>
        <v>1991.36094010057</v>
      </c>
      <c r="I33" s="11" t="n">
        <f aca="false">SUMPRODUCT(I23:I27,Assumptions!$I$6:$I$10)*Assumptions!$B$22/Assumptions!$B$21*I6</f>
        <v>2670.95796534805</v>
      </c>
      <c r="J33" s="11" t="n">
        <f aca="false">SUMPRODUCT(J23:J27,Assumptions!$I$6:$I$10)*Assumptions!$B$22/Assumptions!$B$21*J6</f>
        <v>3469.88348621435</v>
      </c>
      <c r="K33" s="11" t="n">
        <f aca="false">SUMPRODUCT(K23:K27,Assumptions!$I$6:$I$10)*Assumptions!$B$22/Assumptions!$B$21*K6</f>
        <v>4385.15429030899</v>
      </c>
      <c r="L33" s="11" t="n">
        <f aca="false">SUMPRODUCT(L23:L27,Assumptions!$I$6:$I$10)*Assumptions!$B$22/Assumptions!$B$21*L6</f>
        <v>5413.86174555127</v>
      </c>
      <c r="M33" s="11" t="n">
        <f aca="false">SUMPRODUCT(M23:M27,Assumptions!$I$6:$I$10)*Assumptions!$B$22/Assumptions!$B$21*M6</f>
        <v>6553.16993566249</v>
      </c>
      <c r="N33" s="11" t="n">
        <f aca="false">SUMPRODUCT(N23:N27,Assumptions!$I$6:$I$10)*Assumptions!$B$22/Assumptions!$B$21*N6</f>
        <v>7800.31384227092</v>
      </c>
      <c r="O33" s="11" t="n">
        <f aca="false">SUMPRODUCT(O23:O27,Assumptions!$I$6:$I$10)*Assumptions!$B$22/Assumptions!$B$21*O6</f>
        <v>9325.36641525058</v>
      </c>
      <c r="P33" s="11" t="n">
        <f aca="false">SUMPRODUCT(P23:P27,Assumptions!$I$6:$I$10)*Assumptions!$B$22/Assumptions!$B$21*P6</f>
        <v>10622.7323835193</v>
      </c>
      <c r="Q33" s="11" t="n">
        <f aca="false">SUMPRODUCT(Q23:Q27,Assumptions!$I$6:$I$10)*Assumptions!$B$22/Assumptions!$B$21*Q6</f>
        <v>11926.2630920813</v>
      </c>
      <c r="R33" s="11" t="n">
        <f aca="false">SUMPRODUCT(R23:R27,Assumptions!$I$6:$I$10)*Assumptions!$B$22/Assumptions!$B$21*R6</f>
        <v>13235.8044224293</v>
      </c>
      <c r="S33" s="11" t="n">
        <f aca="false">SUMPRODUCT(S23:S27,Assumptions!$I$6:$I$10)*Assumptions!$B$22/Assumptions!$B$21*S6</f>
        <v>14551.2061090186</v>
      </c>
      <c r="T33" s="11" t="n">
        <f aca="false">SUMPRODUCT(T23:T27,Assumptions!$I$6:$I$10)*Assumptions!$B$22/Assumptions!$B$21*T6</f>
        <v>15872.3216429431</v>
      </c>
      <c r="U33" s="11" t="n">
        <f aca="false">SUMPRODUCT(U23:U27,Assumptions!$I$6:$I$10)*Assumptions!$B$22/Assumptions!$B$21*U6</f>
        <v>17178.660363477</v>
      </c>
      <c r="V33" s="11" t="n">
        <f aca="false">SUMPRODUCT(V23:V27,Assumptions!$I$6:$I$10)*Assumptions!$B$22/Assumptions!$B$21*V6</f>
        <v>18470.5916909551</v>
      </c>
      <c r="W33" s="11" t="n">
        <f aca="false">SUMPRODUCT(W23:W27,Assumptions!$I$6:$I$10)*Assumptions!$B$22/Assumptions!$B$21*W6</f>
        <v>19748.4758102037</v>
      </c>
      <c r="X33" s="11" t="n">
        <f aca="false">SUMPRODUCT(X23:X27,Assumptions!$I$6:$I$10)*Assumptions!$B$22/Assumptions!$B$21*X6</f>
        <v>21012.6639014286</v>
      </c>
      <c r="Y33" s="11" t="n">
        <f aca="false">SUMPRODUCT(Y23:Y27,Assumptions!$I$6:$I$10)*Assumptions!$B$22/Assumptions!$B$21*Y6</f>
        <v>22263.4983653304</v>
      </c>
      <c r="Z33" s="11" t="n">
        <f aca="false">SUMPRODUCT(Z23:Z27,Assumptions!$I$6:$I$10)*Assumptions!$B$22/Assumptions!$B$21*Z6</f>
        <v>23501.3130425921</v>
      </c>
      <c r="AA33" s="11" t="n">
        <f aca="false">SUMPRODUCT(AA23:AA27,Assumptions!$I$6:$I$10)*Assumptions!$B$22/Assumptions!$B$21*AA6</f>
        <v>25468.2264307162</v>
      </c>
      <c r="AB33" s="11" t="n">
        <f aca="false">SUMPRODUCT(AB23:AB27,Assumptions!$I$6:$I$10)*Assumptions!$B$22/Assumptions!$B$21*AB6</f>
        <v>26717.3521848476</v>
      </c>
      <c r="AC33" s="11" t="n">
        <f aca="false">SUMPRODUCT(AC23:AC27,Assumptions!$I$6:$I$10)*Assumptions!$B$22/Assumptions!$B$21*AC6</f>
        <v>27954.048402332</v>
      </c>
      <c r="AD33" s="11" t="n">
        <f aca="false">SUMPRODUCT(AD23:AD27,Assumptions!$I$6:$I$10)*Assumptions!$B$22/Assumptions!$B$21*AD6</f>
        <v>29178.6258215854</v>
      </c>
      <c r="AE33" s="11" t="n">
        <f aca="false">SUMPRODUCT(AE23:AE27,Assumptions!$I$6:$I$10)*Assumptions!$B$22/Assumptions!$B$21*AE6</f>
        <v>30391.3874125638</v>
      </c>
      <c r="AF33" s="11" t="n">
        <f aca="false">SUMPRODUCT(AF23:AF27,Assumptions!$I$6:$I$10)*Assumptions!$B$22/Assumptions!$B$21*AF6</f>
        <v>31592.6285709739</v>
      </c>
      <c r="AG33" s="11" t="n">
        <f aca="false">SUMPRODUCT(AG23:AG27,Assumptions!$I$6:$I$10)*Assumptions!$B$22/Assumptions!$B$21*AG6</f>
        <v>32763.8387004237</v>
      </c>
      <c r="AH33" s="11" t="n">
        <f aca="false">SUMPRODUCT(AH23:AH27,Assumptions!$I$6:$I$10)*Assumptions!$B$22/Assumptions!$B$21*AH6</f>
        <v>33905.7685766373</v>
      </c>
      <c r="AI33" s="11" t="n">
        <f aca="false">SUMPRODUCT(AI23:AI27,Assumptions!$I$6:$I$10)*Assumptions!$B$22/Assumptions!$B$21*AI6</f>
        <v>35019.1502059456</v>
      </c>
      <c r="AJ33" s="11" t="n">
        <f aca="false">SUMPRODUCT(AJ23:AJ27,Assumptions!$I$6:$I$10)*Assumptions!$B$22/Assumptions!$B$21*AJ6</f>
        <v>36104.6972945211</v>
      </c>
      <c r="AK33" s="11" t="n">
        <f aca="false">SUMPRODUCT(AK23:AK27,Assumptions!$I$6:$I$10)*Assumptions!$B$22/Assumptions!$B$21*AK6</f>
        <v>37163.1057058823</v>
      </c>
      <c r="AL33" s="11" t="n">
        <f aca="false">SUMPRODUCT(AL23:AL27,Assumptions!$I$6:$I$10)*Assumptions!$B$22/Assumptions!$B$21*AL6</f>
        <v>38195.0539069595</v>
      </c>
      <c r="AM33" s="11" t="n">
        <f aca="false">SUMPRODUCT(AM23:AM27,Assumptions!$I$6:$I$10)*Assumptions!$B$22/Assumptions!$B$21*AM6</f>
        <v>40377.2395051</v>
      </c>
      <c r="AN33" s="11" t="n">
        <f aca="false">SUMPRODUCT(AN23:AN27,Assumptions!$I$6:$I$10)*Assumptions!$B$22/Assumptions!$B$21*AN6</f>
        <v>41387.6651365084</v>
      </c>
      <c r="AO33" s="11" t="n">
        <f aca="false">SUMPRODUCT(AO23:AO27,Assumptions!$I$6:$I$10)*Assumptions!$B$22/Assumptions!$B$21*AO6</f>
        <v>42372.8301271316</v>
      </c>
      <c r="AP33" s="11" t="n">
        <f aca="false">SUMPRODUCT(AP23:AP27,Assumptions!$I$6:$I$10)*Assumptions!$B$22/Assumptions!$B$21*AP6</f>
        <v>43333.3659929892</v>
      </c>
      <c r="AQ33" s="11" t="n">
        <f aca="false">SUMPRODUCT(AQ23:AQ27,Assumptions!$I$6:$I$10)*Assumptions!$B$22/Assumptions!$B$21*AQ6</f>
        <v>44269.8884622004</v>
      </c>
      <c r="AR33" s="11" t="n">
        <f aca="false">SUMPRODUCT(AR23:AR27,Assumptions!$I$6:$I$10)*Assumptions!$B$22/Assumptions!$B$21*AR6</f>
        <v>45182.9978696813</v>
      </c>
      <c r="AS33" s="11" t="n">
        <f aca="false">SUMPRODUCT(AS23:AS27,Assumptions!$I$6:$I$10)*Assumptions!$B$22/Assumptions!$B$21*AS6</f>
        <v>46073.2795419752</v>
      </c>
      <c r="AT33" s="11" t="n">
        <f aca="false">SUMPRODUCT(AT23:AT27,Assumptions!$I$6:$I$10)*Assumptions!$B$22/Assumptions!$B$21*AT6</f>
        <v>46941.3041724618</v>
      </c>
      <c r="AU33" s="11" t="n">
        <f aca="false">SUMPRODUCT(AU23:AU27,Assumptions!$I$6:$I$10)*Assumptions!$B$22/Assumptions!$B$21*AU6</f>
        <v>47787.6281871862</v>
      </c>
      <c r="AV33" s="11" t="n">
        <f aca="false">SUMPRODUCT(AV23:AV27,Assumptions!$I$6:$I$10)*Assumptions!$B$22/Assumptions!$B$21*AV6</f>
        <v>48612.7941015424</v>
      </c>
      <c r="AW33" s="11" t="n">
        <f aca="false">SUMPRODUCT(AW23:AW27,Assumptions!$I$6:$I$10)*Assumptions!$B$22/Assumptions!$B$21*AW6</f>
        <v>49417.3308680398</v>
      </c>
      <c r="AX33" s="11" t="n">
        <f aca="false">SUMPRODUCT(AX23:AX27,Assumptions!$I$6:$I$10)*Assumptions!$B$22/Assumptions!$B$21*AX6</f>
        <v>50201.7542153747</v>
      </c>
      <c r="AY33" s="11" t="n">
        <f aca="false">SUMPRODUCT(AY23:AY27,Assumptions!$I$6:$I$10)*Assumptions!$B$22/Assumptions!$B$21*AY6</f>
        <v>52495.5639883971</v>
      </c>
      <c r="AZ33" s="11" t="n">
        <f aca="false">SUMPRODUCT(AZ23:AZ27,Assumptions!$I$6:$I$10)*Assumptions!$B$22/Assumptions!$B$21*AZ6</f>
        <v>53263.6272062941</v>
      </c>
      <c r="BA33" s="11" t="n">
        <f aca="false">SUMPRODUCT(BA23:BA27,Assumptions!$I$6:$I$10)*Assumptions!$B$22/Assumptions!$B$21*BA6</f>
        <v>54012.4888437438</v>
      </c>
      <c r="BB33" s="11" t="n">
        <f aca="false">SUMPRODUCT(BB23:BB27,Assumptions!$I$6:$I$10)*Assumptions!$B$22/Assumptions!$B$21*BB6</f>
        <v>54742.6289402572</v>
      </c>
      <c r="BC33" s="11" t="n">
        <f aca="false">SUMPRODUCT(BC23:BC27,Assumptions!$I$6:$I$10)*Assumptions!$B$22/Assumptions!$B$21*BC6</f>
        <v>55454.5155343578</v>
      </c>
      <c r="BD33" s="11" t="n">
        <f aca="false">SUMPRODUCT(BD23:BD27,Assumptions!$I$6:$I$10)*Assumptions!$B$22/Assumptions!$B$21*BD6</f>
        <v>56148.6049636058</v>
      </c>
      <c r="BE33" s="11" t="n">
        <f aca="false">SUMPRODUCT(BE23:BE27,Assumptions!$I$6:$I$10)*Assumptions!$B$22/Assumptions!$B$21*BE6</f>
        <v>56825.3421571227</v>
      </c>
      <c r="BF33" s="11" t="n">
        <f aca="false">SUMPRODUCT(BF23:BF27,Assumptions!$I$6:$I$10)*Assumptions!$B$22/Assumptions!$B$21*BF6</f>
        <v>57485.1609208016</v>
      </c>
      <c r="BG33" s="11" t="n">
        <f aca="false">SUMPRODUCT(BG23:BG27,Assumptions!$I$6:$I$10)*Assumptions!$B$22/Assumptions!$B$21*BG6</f>
        <v>58128.4842153886</v>
      </c>
      <c r="BH33" s="11" t="n">
        <f aca="false">SUMPRODUCT(BH23:BH27,Assumptions!$I$6:$I$10)*Assumptions!$B$22/Assumptions!$B$21*BH6</f>
        <v>58755.7244276109</v>
      </c>
      <c r="BI33" s="11" t="n">
        <f aca="false">SUMPRODUCT(BI23:BI27,Assumptions!$I$6:$I$10)*Assumptions!$B$22/Assumptions!$B$21*BI6</f>
        <v>59367.2836345276</v>
      </c>
      <c r="BJ33" s="11" t="n">
        <f aca="false">SUMPRODUCT(BJ23:BJ27,Assumptions!$I$6:$I$10)*Assumptions!$B$22/Assumptions!$B$21*BJ6</f>
        <v>59963.5538612714</v>
      </c>
    </row>
    <row r="34" customFormat="false" ht="15" hidden="false" customHeight="false" outlineLevel="0" collapsed="false">
      <c r="A34" s="10" t="s">
        <v>124</v>
      </c>
      <c r="C34" s="11" t="n">
        <f aca="false">C33*12</f>
        <v>1186.125255</v>
      </c>
      <c r="D34" s="11" t="n">
        <f aca="false">D33*12</f>
        <v>3528.722633625</v>
      </c>
      <c r="E34" s="11" t="n">
        <f aca="false">E33*12</f>
        <v>6998.88033278437</v>
      </c>
      <c r="F34" s="11" t="n">
        <f aca="false">F33*12</f>
        <v>11568.4093444648</v>
      </c>
      <c r="G34" s="11" t="n">
        <f aca="false">G33*12</f>
        <v>17209.8253858531</v>
      </c>
      <c r="H34" s="11" t="n">
        <f aca="false">H33*12</f>
        <v>23896.3312812068</v>
      </c>
      <c r="I34" s="11" t="n">
        <f aca="false">I33*12</f>
        <v>32051.4955841766</v>
      </c>
      <c r="J34" s="11" t="n">
        <f aca="false">J33*12</f>
        <v>41638.6018345722</v>
      </c>
      <c r="K34" s="11" t="n">
        <f aca="false">K33*12</f>
        <v>52621.8514837079</v>
      </c>
      <c r="L34" s="11" t="n">
        <f aca="false">L33*12</f>
        <v>64966.3409466152</v>
      </c>
      <c r="M34" s="11" t="n">
        <f aca="false">M33*12</f>
        <v>78638.0392279498</v>
      </c>
      <c r="N34" s="11" t="n">
        <f aca="false">N33*12</f>
        <v>93603.7661072511</v>
      </c>
      <c r="O34" s="11" t="n">
        <f aca="false">O33*12</f>
        <v>111904.396983007</v>
      </c>
      <c r="P34" s="11" t="n">
        <f aca="false">P33*12</f>
        <v>127472.788602232</v>
      </c>
      <c r="Q34" s="11" t="n">
        <f aca="false">Q33*12</f>
        <v>143115.157104976</v>
      </c>
      <c r="R34" s="11" t="n">
        <f aca="false">R33*12</f>
        <v>158829.653069152</v>
      </c>
      <c r="S34" s="11" t="n">
        <f aca="false">S33*12</f>
        <v>174614.473308223</v>
      </c>
      <c r="T34" s="11" t="n">
        <f aca="false">T33*12</f>
        <v>190467.859715317</v>
      </c>
      <c r="U34" s="11" t="n">
        <f aca="false">U33*12</f>
        <v>206143.924361724</v>
      </c>
      <c r="V34" s="11" t="n">
        <f aca="false">V33*12</f>
        <v>221647.100291461</v>
      </c>
      <c r="W34" s="11" t="n">
        <f aca="false">W33*12</f>
        <v>236981.709722445</v>
      </c>
      <c r="X34" s="11" t="n">
        <f aca="false">X33*12</f>
        <v>252151.966817144</v>
      </c>
      <c r="Y34" s="11" t="n">
        <f aca="false">Y33*12</f>
        <v>267161.980383965</v>
      </c>
      <c r="Z34" s="11" t="n">
        <f aca="false">Z33*12</f>
        <v>282015.756511106</v>
      </c>
      <c r="AA34" s="11" t="n">
        <f aca="false">AA33*12</f>
        <v>305618.717168595</v>
      </c>
      <c r="AB34" s="11" t="n">
        <f aca="false">AB33*12</f>
        <v>320608.226218172</v>
      </c>
      <c r="AC34" s="11" t="n">
        <f aca="false">AC33*12</f>
        <v>335448.580827984</v>
      </c>
      <c r="AD34" s="11" t="n">
        <f aca="false">AD33*12</f>
        <v>350143.509859025</v>
      </c>
      <c r="AE34" s="11" t="n">
        <f aca="false">AE33*12</f>
        <v>364696.648950765</v>
      </c>
      <c r="AF34" s="11" t="n">
        <f aca="false">AF33*12</f>
        <v>379111.542851686</v>
      </c>
      <c r="AG34" s="11" t="n">
        <f aca="false">AG33*12</f>
        <v>393166.064405085</v>
      </c>
      <c r="AH34" s="11" t="n">
        <f aca="false">AH33*12</f>
        <v>406869.222919648</v>
      </c>
      <c r="AI34" s="11" t="n">
        <f aca="false">AI33*12</f>
        <v>420229.802471347</v>
      </c>
      <c r="AJ34" s="11" t="n">
        <f aca="false">AJ33*12</f>
        <v>433256.367534254</v>
      </c>
      <c r="AK34" s="11" t="n">
        <f aca="false">AK33*12</f>
        <v>445957.268470588</v>
      </c>
      <c r="AL34" s="11" t="n">
        <f aca="false">AL33*12</f>
        <v>458340.646883514</v>
      </c>
      <c r="AM34" s="11" t="n">
        <f aca="false">AM33*12</f>
        <v>484526.8740612</v>
      </c>
      <c r="AN34" s="11" t="n">
        <f aca="false">AN33*12</f>
        <v>496651.981638101</v>
      </c>
      <c r="AO34" s="11" t="n">
        <f aca="false">AO33*12</f>
        <v>508473.961525579</v>
      </c>
      <c r="AP34" s="11" t="n">
        <f aca="false">AP33*12</f>
        <v>520000.391915871</v>
      </c>
      <c r="AQ34" s="11" t="n">
        <f aca="false">AQ33*12</f>
        <v>531238.661546405</v>
      </c>
      <c r="AR34" s="11" t="n">
        <f aca="false">AR33*12</f>
        <v>542195.974436176</v>
      </c>
      <c r="AS34" s="11" t="n">
        <f aca="false">AS33*12</f>
        <v>552879.354503703</v>
      </c>
      <c r="AT34" s="11" t="n">
        <f aca="false">AT33*12</f>
        <v>563295.650069541</v>
      </c>
      <c r="AU34" s="11" t="n">
        <f aca="false">AU33*12</f>
        <v>573451.538246234</v>
      </c>
      <c r="AV34" s="11" t="n">
        <f aca="false">AV33*12</f>
        <v>583353.529218509</v>
      </c>
      <c r="AW34" s="11" t="n">
        <f aca="false">AW33*12</f>
        <v>593007.970416477</v>
      </c>
      <c r="AX34" s="11" t="n">
        <f aca="false">AX33*12</f>
        <v>602421.050584497</v>
      </c>
      <c r="AY34" s="11" t="n">
        <f aca="false">AY33*12</f>
        <v>629946.767860765</v>
      </c>
      <c r="AZ34" s="11" t="n">
        <f aca="false">AZ33*12</f>
        <v>639163.52647553</v>
      </c>
      <c r="BA34" s="11" t="n">
        <f aca="false">BA33*12</f>
        <v>648149.866124926</v>
      </c>
      <c r="BB34" s="11" t="n">
        <f aca="false">BB33*12</f>
        <v>656911.547283087</v>
      </c>
      <c r="BC34" s="11" t="n">
        <f aca="false">BC33*12</f>
        <v>665454.186412293</v>
      </c>
      <c r="BD34" s="11" t="n">
        <f aca="false">BD33*12</f>
        <v>673783.25956327</v>
      </c>
      <c r="BE34" s="11" t="n">
        <f aca="false">BE33*12</f>
        <v>681904.105885472</v>
      </c>
      <c r="BF34" s="11" t="n">
        <f aca="false">BF33*12</f>
        <v>689821.93104962</v>
      </c>
      <c r="BG34" s="11" t="n">
        <f aca="false">BG33*12</f>
        <v>697541.810584663</v>
      </c>
      <c r="BH34" s="11" t="n">
        <f aca="false">BH33*12</f>
        <v>705068.693131331</v>
      </c>
      <c r="BI34" s="11" t="n">
        <f aca="false">BI33*12</f>
        <v>712407.403614331</v>
      </c>
      <c r="BJ34" s="11" t="n">
        <f aca="false">BJ33*12</f>
        <v>719562.646335257</v>
      </c>
    </row>
    <row r="35" customFormat="false" ht="15" hidden="false" customHeight="false" outlineLevel="0" collapsed="false">
      <c r="A35" s="10" t="s">
        <v>11</v>
      </c>
      <c r="C35" s="11" t="n">
        <f aca="false">C33</f>
        <v>98.84377125</v>
      </c>
      <c r="D35" s="11" t="n">
        <f aca="false">D33</f>
        <v>294.06021946875</v>
      </c>
      <c r="E35" s="11" t="n">
        <f aca="false">E33</f>
        <v>583.240027732031</v>
      </c>
      <c r="F35" s="11" t="n">
        <f aca="false">F33</f>
        <v>964.03411203873</v>
      </c>
      <c r="G35" s="11" t="n">
        <f aca="false">G33</f>
        <v>1434.15211548776</v>
      </c>
      <c r="H35" s="11" t="n">
        <f aca="false">H33</f>
        <v>1991.36094010057</v>
      </c>
      <c r="I35" s="11" t="n">
        <f aca="false">I33</f>
        <v>2670.95796534805</v>
      </c>
      <c r="J35" s="11" t="n">
        <f aca="false">J33</f>
        <v>3469.88348621435</v>
      </c>
      <c r="K35" s="11" t="n">
        <f aca="false">K33</f>
        <v>4385.15429030899</v>
      </c>
      <c r="L35" s="11" t="n">
        <f aca="false">L33</f>
        <v>5413.86174555127</v>
      </c>
      <c r="M35" s="11" t="n">
        <f aca="false">M33</f>
        <v>6553.16993566249</v>
      </c>
      <c r="N35" s="11" t="n">
        <f aca="false">N33</f>
        <v>7800.31384227092</v>
      </c>
      <c r="O35" s="11" t="n">
        <f aca="false">O33</f>
        <v>9325.36641525058</v>
      </c>
      <c r="P35" s="11" t="n">
        <f aca="false">P33</f>
        <v>10622.7323835193</v>
      </c>
      <c r="Q35" s="11" t="n">
        <f aca="false">Q33</f>
        <v>11926.2630920813</v>
      </c>
      <c r="R35" s="11" t="n">
        <f aca="false">R33</f>
        <v>13235.8044224293</v>
      </c>
      <c r="S35" s="11" t="n">
        <f aca="false">S33</f>
        <v>14551.2061090186</v>
      </c>
      <c r="T35" s="11" t="n">
        <f aca="false">T33</f>
        <v>15872.3216429431</v>
      </c>
      <c r="U35" s="11" t="n">
        <f aca="false">U33</f>
        <v>17178.660363477</v>
      </c>
      <c r="V35" s="11" t="n">
        <f aca="false">V33</f>
        <v>18470.5916909551</v>
      </c>
      <c r="W35" s="11" t="n">
        <f aca="false">W33</f>
        <v>19748.4758102037</v>
      </c>
      <c r="X35" s="11" t="n">
        <f aca="false">X33</f>
        <v>21012.6639014286</v>
      </c>
      <c r="Y35" s="11" t="n">
        <f aca="false">Y33</f>
        <v>22263.4983653304</v>
      </c>
      <c r="Z35" s="11" t="n">
        <f aca="false">Z33</f>
        <v>23501.3130425921</v>
      </c>
      <c r="AA35" s="11" t="n">
        <f aca="false">AA33</f>
        <v>25468.2264307162</v>
      </c>
      <c r="AB35" s="11" t="n">
        <f aca="false">AB33</f>
        <v>26717.3521848476</v>
      </c>
      <c r="AC35" s="11" t="n">
        <f aca="false">AC33</f>
        <v>27954.048402332</v>
      </c>
      <c r="AD35" s="11" t="n">
        <f aca="false">AD33</f>
        <v>29178.6258215854</v>
      </c>
      <c r="AE35" s="11" t="n">
        <f aca="false">AE33</f>
        <v>30391.3874125638</v>
      </c>
      <c r="AF35" s="11" t="n">
        <f aca="false">AF33</f>
        <v>31592.6285709739</v>
      </c>
      <c r="AG35" s="11" t="n">
        <f aca="false">AG33</f>
        <v>32763.8387004237</v>
      </c>
      <c r="AH35" s="11" t="n">
        <f aca="false">AH33</f>
        <v>33905.7685766373</v>
      </c>
      <c r="AI35" s="11" t="n">
        <f aca="false">AI33</f>
        <v>35019.1502059456</v>
      </c>
      <c r="AJ35" s="11" t="n">
        <f aca="false">AJ33</f>
        <v>36104.6972945211</v>
      </c>
      <c r="AK35" s="11" t="n">
        <f aca="false">AK33</f>
        <v>37163.1057058823</v>
      </c>
      <c r="AL35" s="11" t="n">
        <f aca="false">AL33</f>
        <v>38195.0539069595</v>
      </c>
      <c r="AM35" s="11" t="n">
        <f aca="false">AM33</f>
        <v>40377.2395051</v>
      </c>
      <c r="AN35" s="11" t="n">
        <f aca="false">AN33</f>
        <v>41387.6651365084</v>
      </c>
      <c r="AO35" s="11" t="n">
        <f aca="false">AO33</f>
        <v>42372.8301271316</v>
      </c>
      <c r="AP35" s="11" t="n">
        <f aca="false">AP33</f>
        <v>43333.3659929892</v>
      </c>
      <c r="AQ35" s="11" t="n">
        <f aca="false">AQ33</f>
        <v>44269.8884622004</v>
      </c>
      <c r="AR35" s="11" t="n">
        <f aca="false">AR33</f>
        <v>45182.9978696813</v>
      </c>
      <c r="AS35" s="11" t="n">
        <f aca="false">AS33</f>
        <v>46073.2795419752</v>
      </c>
      <c r="AT35" s="11" t="n">
        <f aca="false">AT33</f>
        <v>46941.3041724618</v>
      </c>
      <c r="AU35" s="11" t="n">
        <f aca="false">AU33</f>
        <v>47787.6281871862</v>
      </c>
      <c r="AV35" s="11" t="n">
        <f aca="false">AV33</f>
        <v>48612.7941015424</v>
      </c>
      <c r="AW35" s="11" t="n">
        <f aca="false">AW33</f>
        <v>49417.3308680398</v>
      </c>
      <c r="AX35" s="11" t="n">
        <f aca="false">AX33</f>
        <v>50201.7542153747</v>
      </c>
      <c r="AY35" s="11" t="n">
        <f aca="false">AY33</f>
        <v>52495.5639883971</v>
      </c>
      <c r="AZ35" s="11" t="n">
        <f aca="false">AZ33</f>
        <v>53263.6272062941</v>
      </c>
      <c r="BA35" s="11" t="n">
        <f aca="false">BA33</f>
        <v>54012.4888437438</v>
      </c>
      <c r="BB35" s="11" t="n">
        <f aca="false">BB33</f>
        <v>54742.6289402572</v>
      </c>
      <c r="BC35" s="11" t="n">
        <f aca="false">BC33</f>
        <v>55454.5155343578</v>
      </c>
      <c r="BD35" s="11" t="n">
        <f aca="false">BD33</f>
        <v>56148.6049636058</v>
      </c>
      <c r="BE35" s="11" t="n">
        <f aca="false">BE33</f>
        <v>56825.3421571227</v>
      </c>
      <c r="BF35" s="11" t="n">
        <f aca="false">BF33</f>
        <v>57485.1609208016</v>
      </c>
      <c r="BG35" s="11" t="n">
        <f aca="false">BG33</f>
        <v>58128.4842153886</v>
      </c>
      <c r="BH35" s="11" t="n">
        <f aca="false">BH33</f>
        <v>58755.7244276109</v>
      </c>
      <c r="BI35" s="11" t="n">
        <f aca="false">BI33</f>
        <v>59367.2836345276</v>
      </c>
      <c r="BJ35" s="11" t="n">
        <f aca="false">BJ33</f>
        <v>59963.5538612714</v>
      </c>
    </row>
    <row r="37" customFormat="false" ht="15" hidden="false" customHeight="false" outlineLevel="0" collapsed="false">
      <c r="A37" s="10" t="s">
        <v>125</v>
      </c>
    </row>
    <row r="38" customFormat="false" ht="15" hidden="false" customHeight="false" outlineLevel="0" collapsed="false">
      <c r="A38" s="5" t="s">
        <v>126</v>
      </c>
      <c r="C38" s="8" t="n">
        <f aca="false">C35*Assumptions!$B$33+C31*((1-Assumptions!$B$19)+Assumptions!$B$19/12)*Assumptions!$B$34</f>
        <v>3.285543835</v>
      </c>
      <c r="D38" s="8" t="n">
        <f aca="false">D35*Assumptions!$B$33+D31*((1-Assumptions!$B$19)+Assumptions!$B$19/12)*Assumptions!$B$34</f>
        <v>9.774492909125</v>
      </c>
      <c r="E38" s="8" t="n">
        <f aca="false">E35*Assumptions!$B$33+E31*((1-Assumptions!$B$19)+Assumptions!$B$19/12)*Assumptions!$B$34</f>
        <v>19.3867620913969</v>
      </c>
      <c r="F38" s="8" t="n">
        <f aca="false">F35*Assumptions!$B$33+F31*((1-Assumptions!$B$19)+Assumptions!$B$19/12)*Assumptions!$B$34</f>
        <v>32.044268379112</v>
      </c>
      <c r="G38" s="8" t="n">
        <f aca="false">G35*Assumptions!$B$33+G31*((1-Assumptions!$B$19)+Assumptions!$B$19/12)*Assumptions!$B$34</f>
        <v>47.6708808446342</v>
      </c>
      <c r="H38" s="8" t="n">
        <f aca="false">H35*Assumptions!$B$33+H31*((1-Assumptions!$B$19)+Assumptions!$B$19/12)*Assumptions!$B$34</f>
        <v>66.1923718335183</v>
      </c>
      <c r="I38" s="8" t="n">
        <f aca="false">I35*Assumptions!$B$33+I31*((1-Assumptions!$B$19)+Assumptions!$B$19/12)*Assumptions!$B$34</f>
        <v>88.7655967326803</v>
      </c>
      <c r="J38" s="8" t="n">
        <f aca="false">J35*Assumptions!$B$33+J31*((1-Assumptions!$B$19)+Assumptions!$B$19/12)*Assumptions!$B$34</f>
        <v>115.289262194363</v>
      </c>
      <c r="K38" s="8" t="n">
        <f aca="false">K35*Assumptions!$B$33+K31*((1-Assumptions!$B$19)+Assumptions!$B$19/12)*Assumptions!$B$34</f>
        <v>145.664607204504</v>
      </c>
      <c r="L38" s="8" t="n">
        <f aca="false">L35*Assumptions!$B$33+L31*((1-Assumptions!$B$19)+Assumptions!$B$19/12)*Assumptions!$B$34</f>
        <v>179.795339774392</v>
      </c>
      <c r="M38" s="8" t="n">
        <f aca="false">M35*Assumptions!$B$33+M31*((1-Assumptions!$B$19)+Assumptions!$B$19/12)*Assumptions!$B$34</f>
        <v>217.587575215032</v>
      </c>
      <c r="N38" s="8" t="n">
        <f aca="false">N35*Assumptions!$B$33+N31*((1-Assumptions!$B$19)+Assumptions!$B$19/12)*Assumptions!$B$34</f>
        <v>258.949775954656</v>
      </c>
      <c r="O38" s="8" t="n">
        <f aca="false">O35*Assumptions!$B$33+O31*((1-Assumptions!$B$19)+Assumptions!$B$19/12)*Assumptions!$B$34</f>
        <v>308.383914832846</v>
      </c>
      <c r="P38" s="8" t="n">
        <f aca="false">P35*Assumptions!$B$33+P31*((1-Assumptions!$B$19)+Assumptions!$B$19/12)*Assumptions!$B$34</f>
        <v>351.227414317875</v>
      </c>
      <c r="Q38" s="8" t="n">
        <f aca="false">Q35*Assumptions!$B$33+Q31*((1-Assumptions!$B$19)+Assumptions!$B$19/12)*Assumptions!$B$34</f>
        <v>394.261656611278</v>
      </c>
      <c r="R38" s="8" t="n">
        <f aca="false">R35*Assumptions!$B$33+R31*((1-Assumptions!$B$19)+Assumptions!$B$19/12)*Assumptions!$B$34</f>
        <v>437.481873142846</v>
      </c>
      <c r="S38" s="8" t="n">
        <f aca="false">S35*Assumptions!$B$33+S31*((1-Assumptions!$B$19)+Assumptions!$B$19/12)*Assumptions!$B$34</f>
        <v>480.883414556625</v>
      </c>
      <c r="T38" s="8" t="n">
        <f aca="false">T35*Assumptions!$B$33+T31*((1-Assumptions!$B$19)+Assumptions!$B$19/12)*Assumptions!$B$34</f>
        <v>524.461747730559</v>
      </c>
      <c r="U38" s="8" t="n">
        <f aca="false">U35*Assumptions!$B$33+U31*((1-Assumptions!$B$19)+Assumptions!$B$19/12)*Assumptions!$B$34</f>
        <v>567.533565530163</v>
      </c>
      <c r="V38" s="8" t="n">
        <f aca="false">V35*Assumptions!$B$33+V31*((1-Assumptions!$B$19)+Assumptions!$B$19/12)*Assumptions!$B$34</f>
        <v>610.111530839794</v>
      </c>
      <c r="W38" s="8" t="n">
        <f aca="false">W35*Assumptions!$B$33+W31*((1-Assumptions!$B$19)+Assumptions!$B$19/12)*Assumptions!$B$34</f>
        <v>652.207989971701</v>
      </c>
      <c r="X38" s="8" t="n">
        <f aca="false">X35*Assumptions!$B$33+X31*((1-Assumptions!$B$19)+Assumptions!$B$19/12)*Assumptions!$B$34</f>
        <v>693.834980580329</v>
      </c>
      <c r="Y38" s="8" t="n">
        <f aca="false">Y35*Assumptions!$B$33+Y31*((1-Assumptions!$B$19)+Assumptions!$B$19/12)*Assumptions!$B$34</f>
        <v>735.004239378758</v>
      </c>
      <c r="Z38" s="8" t="n">
        <f aca="false">Z35*Assumptions!$B$33+Z31*((1-Assumptions!$B$19)+Assumptions!$B$19/12)*Assumptions!$B$34</f>
        <v>775.727209662244</v>
      </c>
      <c r="AA38" s="8" t="n">
        <f aca="false">AA35*Assumptions!$B$33+AA31*((1-Assumptions!$B$19)+Assumptions!$B$19/12)*Assumptions!$B$34</f>
        <v>837.527045725916</v>
      </c>
      <c r="AB38" s="8" t="n">
        <f aca="false">AB35*Assumptions!$B$33+AB31*((1-Assumptions!$B$19)+Assumptions!$B$19/12)*Assumptions!$B$34</f>
        <v>878.445718489848</v>
      </c>
      <c r="AC38" s="8" t="n">
        <f aca="false">AC35*Assumptions!$B$33+AC31*((1-Assumptions!$B$19)+Assumptions!$B$19/12)*Assumptions!$B$34</f>
        <v>918.940245824912</v>
      </c>
      <c r="AD38" s="8" t="n">
        <f aca="false">AD35*Assumptions!$B$33+AD31*((1-Assumptions!$B$19)+Assumptions!$B$19/12)*Assumptions!$B$34</f>
        <v>959.02123136683</v>
      </c>
      <c r="AE38" s="8" t="n">
        <f aca="false">AE35*Assumptions!$B$33+AE31*((1-Assumptions!$B$19)+Assumptions!$B$19/12)*Assumptions!$B$34</f>
        <v>998.69901366043</v>
      </c>
      <c r="AF38" s="8" t="n">
        <f aca="false">AF35*Assumptions!$B$33+AF31*((1-Assumptions!$B$19)+Assumptions!$B$19/12)*Assumptions!$B$34</f>
        <v>1037.98367278692</v>
      </c>
      <c r="AG38" s="8" t="n">
        <f aca="false">AG35*Assumptions!$B$33+AG31*((1-Assumptions!$B$19)+Assumptions!$B$19/12)*Assumptions!$B$34</f>
        <v>1076.28621543525</v>
      </c>
      <c r="AH38" s="8" t="n">
        <f aca="false">AH35*Assumptions!$B$33+AH31*((1-Assumptions!$B$19)+Assumptions!$B$19/12)*Assumptions!$B$34</f>
        <v>1113.63119451737</v>
      </c>
      <c r="AI38" s="8" t="n">
        <f aca="false">AI35*Assumptions!$B$33+AI31*((1-Assumptions!$B$19)+Assumptions!$B$19/12)*Assumptions!$B$34</f>
        <v>1150.04254912244</v>
      </c>
      <c r="AJ38" s="8" t="n">
        <f aca="false">AJ35*Assumptions!$B$33+AJ31*((1-Assumptions!$B$19)+Assumptions!$B$19/12)*Assumptions!$B$34</f>
        <v>1185.54361986238</v>
      </c>
      <c r="AK38" s="8" t="n">
        <f aca="false">AK35*Assumptions!$B$33+AK31*((1-Assumptions!$B$19)+Assumptions!$B$19/12)*Assumptions!$B$34</f>
        <v>1220.15716383382</v>
      </c>
      <c r="AL38" s="8" t="n">
        <f aca="false">AL35*Assumptions!$B$33+AL31*((1-Assumptions!$B$19)+Assumptions!$B$19/12)*Assumptions!$B$34</f>
        <v>1253.90536920598</v>
      </c>
      <c r="AM38" s="8" t="n">
        <f aca="false">AM35*Assumptions!$B$33+AM31*((1-Assumptions!$B$19)+Assumptions!$B$19/12)*Assumptions!$B$34</f>
        <v>1320.91491640445</v>
      </c>
      <c r="AN38" s="8" t="n">
        <f aca="false">AN35*Assumptions!$B$33+AN31*((1-Assumptions!$B$19)+Assumptions!$B$19/12)*Assumptions!$B$34</f>
        <v>1353.85027044638</v>
      </c>
      <c r="AO38" s="8" t="n">
        <f aca="false">AO35*Assumptions!$B$33+AO31*((1-Assumptions!$B$19)+Assumptions!$B$19/12)*Assumptions!$B$34</f>
        <v>1385.96224063726</v>
      </c>
      <c r="AP38" s="8" t="n">
        <f aca="false">AP35*Assumptions!$B$33+AP31*((1-Assumptions!$B$19)+Assumptions!$B$19/12)*Assumptions!$B$34</f>
        <v>1417.27141157337</v>
      </c>
      <c r="AQ38" s="8" t="n">
        <f aca="false">AQ35*Assumptions!$B$33+AQ31*((1-Assumptions!$B$19)+Assumptions!$B$19/12)*Assumptions!$B$34</f>
        <v>1447.79785323608</v>
      </c>
      <c r="AR38" s="8" t="n">
        <f aca="false">AR35*Assumptions!$B$33+AR31*((1-Assumptions!$B$19)+Assumptions!$B$19/12)*Assumptions!$B$34</f>
        <v>1477.56113385722</v>
      </c>
      <c r="AS38" s="8" t="n">
        <f aca="false">AS35*Assumptions!$B$33+AS31*((1-Assumptions!$B$19)+Assumptions!$B$19/12)*Assumptions!$B$34</f>
        <v>1506.58033246283</v>
      </c>
      <c r="AT38" s="8" t="n">
        <f aca="false">AT35*Assumptions!$B$33+AT31*((1-Assumptions!$B$19)+Assumptions!$B$19/12)*Assumptions!$B$34</f>
        <v>1534.8740511033</v>
      </c>
      <c r="AU38" s="8" t="n">
        <f aca="false">AU35*Assumptions!$B$33+AU31*((1-Assumptions!$B$19)+Assumptions!$B$19/12)*Assumptions!$B$34</f>
        <v>1562.46042677776</v>
      </c>
      <c r="AV38" s="8" t="n">
        <f aca="false">AV35*Assumptions!$B$33+AV31*((1-Assumptions!$B$19)+Assumptions!$B$19/12)*Assumptions!$B$34</f>
        <v>1589.35714306036</v>
      </c>
      <c r="AW38" s="8" t="n">
        <f aca="false">AW35*Assumptions!$B$33+AW31*((1-Assumptions!$B$19)+Assumptions!$B$19/12)*Assumptions!$B$34</f>
        <v>1615.58144143589</v>
      </c>
      <c r="AX38" s="8" t="n">
        <f aca="false">AX35*Assumptions!$B$33+AX31*((1-Assumptions!$B$19)+Assumptions!$B$19/12)*Assumptions!$B$34</f>
        <v>1641.15013235204</v>
      </c>
      <c r="AY38" s="8" t="n">
        <f aca="false">AY35*Assumptions!$B$33+AY31*((1-Assumptions!$B$19)+Assumptions!$B$19/12)*Assumptions!$B$34</f>
        <v>1710.42051926703</v>
      </c>
      <c r="AZ38" s="8" t="n">
        <f aca="false">AZ35*Assumptions!$B$33+AZ31*((1-Assumptions!$B$19)+Assumptions!$B$19/12)*Assumptions!$B$34</f>
        <v>1735.37550849596</v>
      </c>
      <c r="BA38" s="8" t="n">
        <f aca="false">BA35*Assumptions!$B$33+BA31*((1-Assumptions!$B$19)+Assumptions!$B$19/12)*Assumptions!$B$34</f>
        <v>1759.70662299416</v>
      </c>
      <c r="BB38" s="8" t="n">
        <f aca="false">BB35*Assumptions!$B$33+BB31*((1-Assumptions!$B$19)+Assumptions!$B$19/12)*Assumptions!$B$34</f>
        <v>1783.42945962991</v>
      </c>
      <c r="BC38" s="8" t="n">
        <f aca="false">BC35*Assumptions!$B$33+BC31*((1-Assumptions!$B$19)+Assumptions!$B$19/12)*Assumptions!$B$34</f>
        <v>1806.55922534977</v>
      </c>
      <c r="BD38" s="8" t="n">
        <f aca="false">BD35*Assumptions!$B$33+BD31*((1-Assumptions!$B$19)+Assumptions!$B$19/12)*Assumptions!$B$34</f>
        <v>1829.11074692662</v>
      </c>
      <c r="BE38" s="8" t="n">
        <f aca="false">BE35*Assumptions!$B$33+BE31*((1-Assumptions!$B$19)+Assumptions!$B$19/12)*Assumptions!$B$34</f>
        <v>1851.09848046406</v>
      </c>
      <c r="BF38" s="8" t="n">
        <f aca="false">BF35*Assumptions!$B$33+BF31*((1-Assumptions!$B$19)+Assumptions!$B$19/12)*Assumptions!$B$34</f>
        <v>1872.53652066306</v>
      </c>
      <c r="BG38" s="8" t="n">
        <f aca="false">BG35*Assumptions!$B$33+BG31*((1-Assumptions!$B$19)+Assumptions!$B$19/12)*Assumptions!$B$34</f>
        <v>1893.43860985709</v>
      </c>
      <c r="BH38" s="8" t="n">
        <f aca="false">BH35*Assumptions!$B$33+BH31*((1-Assumptions!$B$19)+Assumptions!$B$19/12)*Assumptions!$B$34</f>
        <v>1913.81814682127</v>
      </c>
      <c r="BI38" s="8" t="n">
        <f aca="false">BI35*Assumptions!$B$33+BI31*((1-Assumptions!$B$19)+Assumptions!$B$19/12)*Assumptions!$B$34</f>
        <v>1933.68819536134</v>
      </c>
      <c r="BJ38" s="8" t="n">
        <f aca="false">BJ35*Assumptions!$B$33+BJ31*((1-Assumptions!$B$19)+Assumptions!$B$19/12)*Assumptions!$B$34</f>
        <v>1953.06149268791</v>
      </c>
    </row>
    <row r="39" customFormat="false" ht="15" hidden="false" customHeight="false" outlineLevel="0" collapsed="false">
      <c r="A39" s="5" t="s">
        <v>127</v>
      </c>
      <c r="C39" s="8" t="n">
        <f aca="false">Assumptions!$B$35+Assumptions!$B$36*C31</f>
        <v>251.445084375</v>
      </c>
      <c r="D39" s="8" t="n">
        <f aca="false">Assumptions!$B$35+Assumptions!$B$36*D31</f>
        <v>254.299126015625</v>
      </c>
      <c r="E39" s="8" t="n">
        <f aca="false">Assumptions!$B$35+Assumptions!$B$36*E31</f>
        <v>258.526900990234</v>
      </c>
      <c r="F39" s="8" t="n">
        <f aca="false">Assumptions!$B$35+Assumptions!$B$36*F31</f>
        <v>264.094065965479</v>
      </c>
      <c r="G39" s="8" t="n">
        <f aca="false">Assumptions!$B$35+Assumptions!$B$36*G31</f>
        <v>270.967136191342</v>
      </c>
      <c r="H39" s="8" t="n">
        <f aca="false">Assumptions!$B$35+Assumptions!$B$36*H31</f>
        <v>279.113464036558</v>
      </c>
      <c r="I39" s="8" t="n">
        <f aca="false">Assumptions!$B$35+Assumptions!$B$36*I31</f>
        <v>288.992468060644</v>
      </c>
      <c r="J39" s="8" t="n">
        <f aca="false">Assumptions!$B$35+Assumptions!$B$36*J31</f>
        <v>300.560831359128</v>
      </c>
      <c r="K39" s="8" t="n">
        <f aca="false">Assumptions!$B$35+Assumptions!$B$36*K31</f>
        <v>313.77631995015</v>
      </c>
      <c r="L39" s="8" t="n">
        <f aca="false">Assumptions!$B$35+Assumptions!$B$36*L31</f>
        <v>328.597755701396</v>
      </c>
      <c r="M39" s="8" t="n">
        <f aca="false">Assumptions!$B$35+Assumptions!$B$36*M31</f>
        <v>344.984989933861</v>
      </c>
      <c r="N39" s="8" t="n">
        <f aca="false">Assumptions!$B$35+Assumptions!$B$36*N31</f>
        <v>362.898877685515</v>
      </c>
      <c r="O39" s="8" t="n">
        <f aca="false">Assumptions!$B$35+Assumptions!$B$36*O31</f>
        <v>380.856168243377</v>
      </c>
      <c r="P39" s="8" t="n">
        <f aca="false">Assumptions!$B$35+Assumptions!$B$36*P31</f>
        <v>398.855776537292</v>
      </c>
      <c r="Q39" s="8" t="n">
        <f aca="false">Assumptions!$B$35+Assumptions!$B$36*Q31</f>
        <v>416.89664462386</v>
      </c>
      <c r="R39" s="8" t="n">
        <f aca="false">Assumptions!$B$35+Assumptions!$B$36*R31</f>
        <v>434.977741008264</v>
      </c>
      <c r="S39" s="8" t="n">
        <f aca="false">Assumptions!$B$35+Assumptions!$B$36*S31</f>
        <v>453.098059983057</v>
      </c>
      <c r="T39" s="8" t="n">
        <f aca="false">Assumptions!$B$35+Assumptions!$B$36*T31</f>
        <v>471.256620983481</v>
      </c>
      <c r="U39" s="8" t="n">
        <f aca="false">Assumptions!$B$35+Assumptions!$B$36*U31</f>
        <v>489.146258583893</v>
      </c>
      <c r="V39" s="8" t="n">
        <f aca="false">Assumptions!$B$35+Assumptions!$B$36*V31</f>
        <v>506.773695869296</v>
      </c>
      <c r="W39" s="8" t="n">
        <f aca="false">Assumptions!$B$35+Assumptions!$B$36*W31</f>
        <v>524.145487847564</v>
      </c>
      <c r="X39" s="8" t="n">
        <f aca="false">Assumptions!$B$35+Assumptions!$B$36*X31</f>
        <v>541.268025651375</v>
      </c>
      <c r="Y39" s="8" t="n">
        <f aca="false">Assumptions!$B$35+Assumptions!$B$36*Y31</f>
        <v>558.14754063509</v>
      </c>
      <c r="Z39" s="8" t="n">
        <f aca="false">Assumptions!$B$35+Assumptions!$B$36*Z31</f>
        <v>574.790108369213</v>
      </c>
      <c r="AA39" s="8" t="n">
        <f aca="false">Assumptions!$B$35+Assumptions!$B$36*AA31</f>
        <v>591.201652534983</v>
      </c>
      <c r="AB39" s="8" t="n">
        <f aca="false">Assumptions!$B$35+Assumptions!$B$36*AB31</f>
        <v>607.387948721608</v>
      </c>
      <c r="AC39" s="8" t="n">
        <f aca="false">Assumptions!$B$35+Assumptions!$B$36*AC31</f>
        <v>623.354628128568</v>
      </c>
      <c r="AD39" s="8" t="n">
        <f aca="false">Assumptions!$B$35+Assumptions!$B$36*AD31</f>
        <v>639.107181175354</v>
      </c>
      <c r="AE39" s="8" t="n">
        <f aca="false">Assumptions!$B$35+Assumptions!$B$36*AE31</f>
        <v>654.65096102097</v>
      </c>
      <c r="AF39" s="8" t="n">
        <f aca="false">Assumptions!$B$35+Assumptions!$B$36*AF31</f>
        <v>669.991186995446</v>
      </c>
      <c r="AG39" s="8" t="n">
        <f aca="false">Assumptions!$B$35+Assumptions!$B$36*AG31</f>
        <v>684.94790732056</v>
      </c>
      <c r="AH39" s="8" t="n">
        <f aca="false">Assumptions!$B$35+Assumptions!$B$36*AH31</f>
        <v>699.530709637545</v>
      </c>
      <c r="AI39" s="8" t="n">
        <f aca="false">Assumptions!$B$35+Assumptions!$B$36*AI31</f>
        <v>713.748941896607</v>
      </c>
      <c r="AJ39" s="8" t="n">
        <f aca="false">Assumptions!$B$35+Assumptions!$B$36*AJ31</f>
        <v>727.611718349192</v>
      </c>
      <c r="AK39" s="8" t="n">
        <f aca="false">Assumptions!$B$35+Assumptions!$B$36*AK31</f>
        <v>741.127925390462</v>
      </c>
      <c r="AL39" s="8" t="n">
        <f aca="false">Assumptions!$B$35+Assumptions!$B$36*AL31</f>
        <v>754.3062272557</v>
      </c>
      <c r="AM39" s="8" t="n">
        <f aca="false">Assumptions!$B$35+Assumptions!$B$36*AM31</f>
        <v>767.155071574308</v>
      </c>
      <c r="AN39" s="8" t="n">
        <f aca="false">Assumptions!$B$35+Assumptions!$B$36*AN31</f>
        <v>779.68269478495</v>
      </c>
      <c r="AO39" s="8" t="n">
        <f aca="false">Assumptions!$B$35+Assumptions!$B$36*AO31</f>
        <v>791.897127415326</v>
      </c>
      <c r="AP39" s="8" t="n">
        <f aca="false">Assumptions!$B$35+Assumptions!$B$36*AP31</f>
        <v>803.806199229943</v>
      </c>
      <c r="AQ39" s="8" t="n">
        <f aca="false">Assumptions!$B$35+Assumptions!$B$36*AQ31</f>
        <v>815.417544249194</v>
      </c>
      <c r="AR39" s="8" t="n">
        <f aca="false">Assumptions!$B$35+Assumptions!$B$36*AR31</f>
        <v>826.738605642965</v>
      </c>
      <c r="AS39" s="8" t="n">
        <f aca="false">Assumptions!$B$35+Assumptions!$B$36*AS31</f>
        <v>837.776640501891</v>
      </c>
      <c r="AT39" s="8" t="n">
        <f aca="false">Assumptions!$B$35+Assumptions!$B$36*AT31</f>
        <v>848.538724489343</v>
      </c>
      <c r="AU39" s="8" t="n">
        <f aca="false">Assumptions!$B$35+Assumptions!$B$36*AU31</f>
        <v>859.03175637711</v>
      </c>
      <c r="AV39" s="8" t="n">
        <f aca="false">Assumptions!$B$35+Assumptions!$B$36*AV31</f>
        <v>869.262462467682</v>
      </c>
      <c r="AW39" s="8" t="n">
        <f aca="false">Assumptions!$B$35+Assumptions!$B$36*AW31</f>
        <v>879.23740090599</v>
      </c>
      <c r="AX39" s="8" t="n">
        <f aca="false">Assumptions!$B$35+Assumptions!$B$36*AX31</f>
        <v>888.96296588334</v>
      </c>
      <c r="AY39" s="8" t="n">
        <f aca="false">Assumptions!$B$35+Assumptions!$B$36*AY31</f>
        <v>898.445391736257</v>
      </c>
      <c r="AZ39" s="8" t="n">
        <f aca="false">Assumptions!$B$35+Assumptions!$B$36*AZ31</f>
        <v>907.69075694285</v>
      </c>
      <c r="BA39" s="8" t="n">
        <f aca="false">Assumptions!$B$35+Assumptions!$B$36*BA31</f>
        <v>916.704988019279</v>
      </c>
      <c r="BB39" s="8" t="n">
        <f aca="false">Assumptions!$B$35+Assumptions!$B$36*BB31</f>
        <v>925.493863318797</v>
      </c>
      <c r="BC39" s="8" t="n">
        <f aca="false">Assumptions!$B$35+Assumptions!$B$36*BC31</f>
        <v>934.063016735827</v>
      </c>
      <c r="BD39" s="8" t="n">
        <f aca="false">Assumptions!$B$35+Assumptions!$B$36*BD31</f>
        <v>942.417941317431</v>
      </c>
      <c r="BE39" s="8" t="n">
        <f aca="false">Assumptions!$B$35+Assumptions!$B$36*BE31</f>
        <v>950.563992784495</v>
      </c>
      <c r="BF39" s="8" t="n">
        <f aca="false">Assumptions!$B$35+Assumptions!$B$36*BF31</f>
        <v>958.506392964883</v>
      </c>
      <c r="BG39" s="8" t="n">
        <f aca="false">Assumptions!$B$35+Assumptions!$B$36*BG31</f>
        <v>966.250233140761</v>
      </c>
      <c r="BH39" s="8" t="n">
        <f aca="false">Assumptions!$B$35+Assumptions!$B$36*BH31</f>
        <v>973.800477312242</v>
      </c>
      <c r="BI39" s="8" t="n">
        <f aca="false">Assumptions!$B$35+Assumptions!$B$36*BI31</f>
        <v>981.161965379436</v>
      </c>
      <c r="BJ39" s="8" t="n">
        <f aca="false">Assumptions!$B$35+Assumptions!$B$36*BJ31</f>
        <v>988.33941624495</v>
      </c>
    </row>
    <row r="40" customFormat="false" ht="15" hidden="false" customHeight="false" outlineLevel="0" collapsed="false">
      <c r="A40" s="5" t="s">
        <v>128</v>
      </c>
      <c r="C40" s="8" t="n">
        <f aca="false">C31/Assumptions!$B$37*Assumptions!$B$38/12</f>
        <v>22.0776779513889</v>
      </c>
      <c r="D40" s="8" t="n">
        <f aca="false">D31/Assumptions!$B$37*Assumptions!$B$38/12</f>
        <v>65.6810919053819</v>
      </c>
      <c r="E40" s="8" t="n">
        <f aca="false">E31/Assumptions!$B$37*Assumptions!$B$38/12</f>
        <v>130.272098461914</v>
      </c>
      <c r="F40" s="8" t="n">
        <f aca="false">F31/Assumptions!$B$37*Assumptions!$B$38/12</f>
        <v>215.326007805922</v>
      </c>
      <c r="G40" s="8" t="n">
        <f aca="false">G31/Assumptions!$B$37*Assumptions!$B$38/12</f>
        <v>320.331247367718</v>
      </c>
      <c r="H40" s="8" t="n">
        <f aca="false">H31/Assumptions!$B$37*Assumptions!$B$38/12</f>
        <v>444.789033891859</v>
      </c>
      <c r="I40" s="8" t="n">
        <f aca="false">I31/Assumptions!$B$37*Assumptions!$B$38/12</f>
        <v>595.718262037618</v>
      </c>
      <c r="J40" s="8" t="n">
        <f aca="false">J31/Assumptions!$B$37*Assumptions!$B$38/12</f>
        <v>772.457145764455</v>
      </c>
      <c r="K40" s="8" t="n">
        <f aca="false">K31/Assumptions!$B$37*Assumptions!$B$38/12</f>
        <v>974.360443682843</v>
      </c>
      <c r="L40" s="8" t="n">
        <f aca="false">L31/Assumptions!$B$37*Assumptions!$B$38/12</f>
        <v>1200.79904543799</v>
      </c>
      <c r="M40" s="8" t="n">
        <f aca="false">M31/Assumptions!$B$37*Assumptions!$B$38/12</f>
        <v>1451.15956843399</v>
      </c>
      <c r="N40" s="8" t="n">
        <f aca="false">N31/Assumptions!$B$37*Assumptions!$B$38/12</f>
        <v>1724.84396463981</v>
      </c>
      <c r="O40" s="8" t="n">
        <f aca="false">O31/Assumptions!$B$37*Assumptions!$B$38/12</f>
        <v>1999.19145927381</v>
      </c>
      <c r="P40" s="8" t="n">
        <f aca="false">P31/Assumptions!$B$37*Assumptions!$B$38/12</f>
        <v>2274.1854748753</v>
      </c>
      <c r="Q40" s="8" t="n">
        <f aca="false">Q31/Assumptions!$B$37*Assumptions!$B$38/12</f>
        <v>2549.80984842008</v>
      </c>
      <c r="R40" s="8" t="n">
        <f aca="false">R31/Assumptions!$B$37*Assumptions!$B$38/12</f>
        <v>2826.04882095958</v>
      </c>
      <c r="S40" s="8" t="n">
        <f aca="false">S31/Assumptions!$B$37*Assumptions!$B$38/12</f>
        <v>3102.88702751892</v>
      </c>
      <c r="T40" s="8" t="n">
        <f aca="false">T31/Assumptions!$B$37*Assumptions!$B$38/12</f>
        <v>3380.30948724762</v>
      </c>
      <c r="U40" s="8" t="n">
        <f aca="false">U31/Assumptions!$B$37*Assumptions!$B$38/12</f>
        <v>3653.62339503171</v>
      </c>
      <c r="V40" s="8" t="n">
        <f aca="false">V31/Assumptions!$B$37*Assumptions!$B$38/12</f>
        <v>3922.9314646698</v>
      </c>
      <c r="W40" s="8" t="n">
        <f aca="false">W31/Assumptions!$B$37*Assumptions!$B$38/12</f>
        <v>4188.33384211556</v>
      </c>
      <c r="X40" s="8" t="n">
        <f aca="false">X31/Assumptions!$B$37*Assumptions!$B$38/12</f>
        <v>4449.92816967378</v>
      </c>
      <c r="Y40" s="8" t="n">
        <f aca="false">Y31/Assumptions!$B$37*Assumptions!$B$38/12</f>
        <v>4707.80964859166</v>
      </c>
      <c r="Z40" s="8" t="n">
        <f aca="false">Z31/Assumptions!$B$37*Assumptions!$B$38/12</f>
        <v>4962.0711000852</v>
      </c>
      <c r="AA40" s="8" t="n">
        <f aca="false">AA31/Assumptions!$B$37*Assumptions!$B$38/12</f>
        <v>5212.80302484001</v>
      </c>
      <c r="AB40" s="8" t="n">
        <f aca="false">AB31/Assumptions!$B$37*Assumptions!$B$38/12</f>
        <v>5460.09366102457</v>
      </c>
      <c r="AC40" s="8" t="n">
        <f aca="false">AC31/Assumptions!$B$37*Assumptions!$B$38/12</f>
        <v>5704.02904085312</v>
      </c>
      <c r="AD40" s="8" t="n">
        <f aca="false">AD31/Assumptions!$B$37*Assumptions!$B$38/12</f>
        <v>5944.69304573457</v>
      </c>
      <c r="AE40" s="8" t="n">
        <f aca="false">AE31/Assumptions!$B$37*Assumptions!$B$38/12</f>
        <v>6182.1674600426</v>
      </c>
      <c r="AF40" s="8" t="n">
        <f aca="false">AF31/Assumptions!$B$37*Assumptions!$B$38/12</f>
        <v>6416.53202354153</v>
      </c>
      <c r="AG40" s="8" t="n">
        <f aca="false">AG31/Assumptions!$B$37*Assumptions!$B$38/12</f>
        <v>6645.03747295299</v>
      </c>
      <c r="AH40" s="8" t="n">
        <f aca="false">AH31/Assumptions!$B$37*Assumptions!$B$38/12</f>
        <v>6867.83028612917</v>
      </c>
      <c r="AI40" s="8" t="n">
        <f aca="false">AI31/Assumptions!$B$37*Assumptions!$B$38/12</f>
        <v>7085.05327897594</v>
      </c>
      <c r="AJ40" s="8" t="n">
        <f aca="false">AJ31/Assumptions!$B$37*Assumptions!$B$38/12</f>
        <v>7296.84569700154</v>
      </c>
      <c r="AK40" s="8" t="n">
        <f aca="false">AK31/Assumptions!$B$37*Assumptions!$B$38/12</f>
        <v>7503.3433045765</v>
      </c>
      <c r="AL40" s="8" t="n">
        <f aca="false">AL31/Assumptions!$B$37*Assumptions!$B$38/12</f>
        <v>7704.67847196209</v>
      </c>
      <c r="AM40" s="8" t="n">
        <f aca="false">AM31/Assumptions!$B$37*Assumptions!$B$38/12</f>
        <v>7900.98026016304</v>
      </c>
      <c r="AN40" s="8" t="n">
        <f aca="false">AN31/Assumptions!$B$37*Assumptions!$B$38/12</f>
        <v>8092.37450365896</v>
      </c>
      <c r="AO40" s="8" t="n">
        <f aca="false">AO31/Assumptions!$B$37*Assumptions!$B$38/12</f>
        <v>8278.98389106748</v>
      </c>
      <c r="AP40" s="8" t="n">
        <f aca="false">AP31/Assumptions!$B$37*Assumptions!$B$38/12</f>
        <v>8460.9280437908</v>
      </c>
      <c r="AQ40" s="8" t="n">
        <f aca="false">AQ31/Assumptions!$B$37*Assumptions!$B$38/12</f>
        <v>8638.32359269602</v>
      </c>
      <c r="AR40" s="8" t="n">
        <f aca="false">AR31/Assumptions!$B$37*Assumptions!$B$38/12</f>
        <v>8811.28425287863</v>
      </c>
      <c r="AS40" s="8" t="n">
        <f aca="false">AS31/Assumptions!$B$37*Assumptions!$B$38/12</f>
        <v>8979.92089655666</v>
      </c>
      <c r="AT40" s="8" t="n">
        <f aca="false">AT31/Assumptions!$B$37*Assumptions!$B$38/12</f>
        <v>9144.34162414274</v>
      </c>
      <c r="AU40" s="8" t="n">
        <f aca="false">AU31/Assumptions!$B$37*Assumptions!$B$38/12</f>
        <v>9304.65183353918</v>
      </c>
      <c r="AV40" s="8" t="n">
        <f aca="false">AV31/Assumptions!$B$37*Assumptions!$B$38/12</f>
        <v>9460.95428770069</v>
      </c>
      <c r="AW40" s="8" t="n">
        <f aca="false">AW31/Assumptions!$B$37*Assumptions!$B$38/12</f>
        <v>9613.34918050818</v>
      </c>
      <c r="AX40" s="8" t="n">
        <f aca="false">AX31/Assumptions!$B$37*Assumptions!$B$38/12</f>
        <v>9761.93420099547</v>
      </c>
      <c r="AY40" s="8" t="n">
        <f aca="false">AY31/Assumptions!$B$37*Assumptions!$B$38/12</f>
        <v>9906.80459597059</v>
      </c>
      <c r="AZ40" s="8" t="n">
        <f aca="false">AZ31/Assumptions!$B$37*Assumptions!$B$38/12</f>
        <v>10048.0532310713</v>
      </c>
      <c r="BA40" s="8" t="n">
        <f aca="false">BA31/Assumptions!$B$37*Assumptions!$B$38/12</f>
        <v>10185.7706502945</v>
      </c>
      <c r="BB40" s="8" t="n">
        <f aca="false">BB31/Assumptions!$B$37*Assumptions!$B$38/12</f>
        <v>10320.0451340372</v>
      </c>
      <c r="BC40" s="8" t="n">
        <f aca="false">BC31/Assumptions!$B$37*Assumptions!$B$38/12</f>
        <v>10450.9627556862</v>
      </c>
      <c r="BD40" s="8" t="n">
        <f aca="false">BD31/Assumptions!$B$37*Assumptions!$B$38/12</f>
        <v>10578.6074367941</v>
      </c>
      <c r="BE40" s="8" t="n">
        <f aca="false">BE31/Assumptions!$B$37*Assumptions!$B$38/12</f>
        <v>10703.0610008742</v>
      </c>
      <c r="BF40" s="8" t="n">
        <f aca="false">BF31/Assumptions!$B$37*Assumptions!$B$38/12</f>
        <v>10824.4032258524</v>
      </c>
      <c r="BG40" s="8" t="n">
        <f aca="false">BG31/Assumptions!$B$37*Assumptions!$B$38/12</f>
        <v>10942.7118952061</v>
      </c>
      <c r="BH40" s="8" t="n">
        <f aca="false">BH31/Assumptions!$B$37*Assumptions!$B$38/12</f>
        <v>11058.0628478259</v>
      </c>
      <c r="BI40" s="8" t="n">
        <f aca="false">BI31/Assumptions!$B$37*Assumptions!$B$38/12</f>
        <v>11170.5300266303</v>
      </c>
      <c r="BJ40" s="8" t="n">
        <f aca="false">BJ31/Assumptions!$B$37*Assumptions!$B$38/12</f>
        <v>11280.1855259645</v>
      </c>
    </row>
    <row r="41" customFormat="false" ht="15" hidden="false" customHeight="false" outlineLevel="0" collapsed="false">
      <c r="A41" s="10" t="s">
        <v>129</v>
      </c>
      <c r="C41" s="11" t="n">
        <f aca="false">SUM(C38:C40)</f>
        <v>276.808306161389</v>
      </c>
      <c r="D41" s="11" t="n">
        <f aca="false">SUM(D38:D40)</f>
        <v>329.754710830132</v>
      </c>
      <c r="E41" s="11" t="n">
        <f aca="false">SUM(E38:E40)</f>
        <v>408.185761543545</v>
      </c>
      <c r="F41" s="11" t="n">
        <f aca="false">SUM(F38:F40)</f>
        <v>511.464342150512</v>
      </c>
      <c r="G41" s="11" t="n">
        <f aca="false">SUM(G38:G40)</f>
        <v>638.969264403694</v>
      </c>
      <c r="H41" s="11" t="n">
        <f aca="false">SUM(H38:H40)</f>
        <v>790.094869761935</v>
      </c>
      <c r="I41" s="11" t="n">
        <f aca="false">SUM(I38:I40)</f>
        <v>973.476326830942</v>
      </c>
      <c r="J41" s="11" t="n">
        <f aca="false">SUM(J38:J40)</f>
        <v>1188.30723931795</v>
      </c>
      <c r="K41" s="11" t="n">
        <f aca="false">SUM(K38:K40)</f>
        <v>1433.8013708375</v>
      </c>
      <c r="L41" s="11" t="n">
        <f aca="false">SUM(L38:L40)</f>
        <v>1709.19214091378</v>
      </c>
      <c r="M41" s="11" t="n">
        <f aca="false">SUM(M38:M40)</f>
        <v>2013.73213358288</v>
      </c>
      <c r="N41" s="11" t="n">
        <f aca="false">SUM(N38:N40)</f>
        <v>2346.69261827998</v>
      </c>
      <c r="O41" s="11" t="n">
        <f aca="false">SUM(O38:O40)</f>
        <v>2688.43154235003</v>
      </c>
      <c r="P41" s="11" t="n">
        <f aca="false">SUM(P38:P40)</f>
        <v>3024.26866573047</v>
      </c>
      <c r="Q41" s="11" t="n">
        <f aca="false">SUM(Q38:Q40)</f>
        <v>3360.96814965522</v>
      </c>
      <c r="R41" s="11" t="n">
        <f aca="false">SUM(R38:R40)</f>
        <v>3698.50843511069</v>
      </c>
      <c r="S41" s="11" t="n">
        <f aca="false">SUM(S38:S40)</f>
        <v>4036.86850205861</v>
      </c>
      <c r="T41" s="11" t="n">
        <f aca="false">SUM(T38:T40)</f>
        <v>4376.02785596166</v>
      </c>
      <c r="U41" s="11" t="n">
        <f aca="false">SUM(U38:U40)</f>
        <v>4710.30321914576</v>
      </c>
      <c r="V41" s="11" t="n">
        <f aca="false">SUM(V38:V40)</f>
        <v>5039.81669137889</v>
      </c>
      <c r="W41" s="11" t="n">
        <f aca="false">SUM(W38:W40)</f>
        <v>5364.68731993482</v>
      </c>
      <c r="X41" s="11" t="n">
        <f aca="false">SUM(X38:X40)</f>
        <v>5685.03117590548</v>
      </c>
      <c r="Y41" s="11" t="n">
        <f aca="false">SUM(Y38:Y40)</f>
        <v>6000.96142860551</v>
      </c>
      <c r="Z41" s="11" t="n">
        <f aca="false">SUM(Z38:Z40)</f>
        <v>6312.58841811666</v>
      </c>
      <c r="AA41" s="11" t="n">
        <f aca="false">SUM(AA38:AA40)</f>
        <v>6641.53172310091</v>
      </c>
      <c r="AB41" s="11" t="n">
        <f aca="false">SUM(AB38:AB40)</f>
        <v>6945.92732823603</v>
      </c>
      <c r="AC41" s="11" t="n">
        <f aca="false">SUM(AC38:AC40)</f>
        <v>7246.3239148066</v>
      </c>
      <c r="AD41" s="11" t="n">
        <f aca="false">SUM(AD38:AD40)</f>
        <v>7542.82145827675</v>
      </c>
      <c r="AE41" s="11" t="n">
        <f aca="false">SUM(AE38:AE40)</f>
        <v>7835.517434724</v>
      </c>
      <c r="AF41" s="11" t="n">
        <f aca="false">SUM(AF38:AF40)</f>
        <v>8124.5068833239</v>
      </c>
      <c r="AG41" s="11" t="n">
        <f aca="false">SUM(AG38:AG40)</f>
        <v>8406.2715957088</v>
      </c>
      <c r="AH41" s="11" t="n">
        <f aca="false">SUM(AH38:AH40)</f>
        <v>8680.99219028408</v>
      </c>
      <c r="AI41" s="11" t="n">
        <f aca="false">SUM(AI38:AI40)</f>
        <v>8948.84476999498</v>
      </c>
      <c r="AJ41" s="11" t="n">
        <f aca="false">SUM(AJ38:AJ40)</f>
        <v>9210.00103521311</v>
      </c>
      <c r="AK41" s="11" t="n">
        <f aca="false">SUM(AK38:AK40)</f>
        <v>9464.62839380078</v>
      </c>
      <c r="AL41" s="11" t="n">
        <f aca="false">SUM(AL38:AL40)</f>
        <v>9712.89006842377</v>
      </c>
      <c r="AM41" s="11" t="n">
        <f aca="false">SUM(AM38:AM40)</f>
        <v>9989.05024814179</v>
      </c>
      <c r="AN41" s="11" t="n">
        <f aca="false">SUM(AN38:AN40)</f>
        <v>10225.9074688903</v>
      </c>
      <c r="AO41" s="11" t="n">
        <f aca="false">SUM(AO38:AO40)</f>
        <v>10456.8432591201</v>
      </c>
      <c r="AP41" s="11" t="n">
        <f aca="false">SUM(AP38:AP40)</f>
        <v>10682.0056545941</v>
      </c>
      <c r="AQ41" s="11" t="n">
        <f aca="false">SUM(AQ38:AQ40)</f>
        <v>10901.5389901813</v>
      </c>
      <c r="AR41" s="11" t="n">
        <f aca="false">SUM(AR38:AR40)</f>
        <v>11115.5839923788</v>
      </c>
      <c r="AS41" s="11" t="n">
        <f aca="false">SUM(AS38:AS40)</f>
        <v>11324.2778695214</v>
      </c>
      <c r="AT41" s="11" t="n">
        <f aca="false">SUM(AT38:AT40)</f>
        <v>11527.7543997354</v>
      </c>
      <c r="AU41" s="11" t="n">
        <f aca="false">SUM(AU38:AU40)</f>
        <v>11726.144016694</v>
      </c>
      <c r="AV41" s="11" t="n">
        <f aca="false">SUM(AV38:AV40)</f>
        <v>11919.5738932287</v>
      </c>
      <c r="AW41" s="11" t="n">
        <f aca="false">SUM(AW38:AW40)</f>
        <v>12108.1680228501</v>
      </c>
      <c r="AX41" s="11" t="n">
        <f aca="false">SUM(AX38:AX40)</f>
        <v>12292.0472992308</v>
      </c>
      <c r="AY41" s="11" t="n">
        <f aca="false">SUM(AY38:AY40)</f>
        <v>12515.6705069739</v>
      </c>
      <c r="AZ41" s="11" t="n">
        <f aca="false">SUM(AZ38:AZ40)</f>
        <v>12691.1194965101</v>
      </c>
      <c r="BA41" s="11" t="n">
        <f aca="false">SUM(BA38:BA40)</f>
        <v>12862.182261308</v>
      </c>
      <c r="BB41" s="11" t="n">
        <f aca="false">SUM(BB38:BB40)</f>
        <v>13028.9684569859</v>
      </c>
      <c r="BC41" s="11" t="n">
        <f aca="false">SUM(BC38:BC40)</f>
        <v>13191.5849977718</v>
      </c>
      <c r="BD41" s="11" t="n">
        <f aca="false">SUM(BD38:BD40)</f>
        <v>13350.1361250381</v>
      </c>
      <c r="BE41" s="11" t="n">
        <f aca="false">SUM(BE38:BE40)</f>
        <v>13504.7234741228</v>
      </c>
      <c r="BF41" s="11" t="n">
        <f aca="false">SUM(BF38:BF40)</f>
        <v>13655.4461394803</v>
      </c>
      <c r="BG41" s="11" t="n">
        <f aca="false">SUM(BG38:BG40)</f>
        <v>13802.4007382039</v>
      </c>
      <c r="BH41" s="11" t="n">
        <f aca="false">SUM(BH38:BH40)</f>
        <v>13945.6814719594</v>
      </c>
      <c r="BI41" s="11" t="n">
        <f aca="false">SUM(BI38:BI40)</f>
        <v>14085.380187371</v>
      </c>
      <c r="BJ41" s="11" t="n">
        <f aca="false">SUM(BJ38:BJ40)</f>
        <v>14221.5864348974</v>
      </c>
    </row>
    <row r="42" customFormat="false" ht="15" hidden="false" customHeight="false" outlineLevel="0" collapsed="false">
      <c r="A42" s="10" t="s">
        <v>130</v>
      </c>
      <c r="C42" s="11" t="n">
        <f aca="false">C35-C41</f>
        <v>-177.964534911389</v>
      </c>
      <c r="D42" s="11" t="n">
        <f aca="false">D35-D41</f>
        <v>-35.694491361382</v>
      </c>
      <c r="E42" s="11" t="n">
        <f aca="false">E35-E41</f>
        <v>175.054266188486</v>
      </c>
      <c r="F42" s="11" t="n">
        <f aca="false">F35-F41</f>
        <v>452.569769888218</v>
      </c>
      <c r="G42" s="11" t="n">
        <f aca="false">G35-G41</f>
        <v>795.182851084068</v>
      </c>
      <c r="H42" s="11" t="n">
        <f aca="false">H35-H41</f>
        <v>1201.26607033863</v>
      </c>
      <c r="I42" s="11" t="n">
        <f aca="false">I35-I41</f>
        <v>1697.48163851711</v>
      </c>
      <c r="J42" s="11" t="n">
        <f aca="false">J35-J41</f>
        <v>2281.57624689641</v>
      </c>
      <c r="K42" s="11" t="n">
        <f aca="false">K35-K41</f>
        <v>2951.3529194715</v>
      </c>
      <c r="L42" s="11" t="n">
        <f aca="false">L35-L41</f>
        <v>3704.66960463749</v>
      </c>
      <c r="M42" s="11" t="n">
        <f aca="false">M35-M41</f>
        <v>4539.43780207961</v>
      </c>
      <c r="N42" s="11" t="n">
        <f aca="false">N35-N41</f>
        <v>5453.62122399095</v>
      </c>
      <c r="O42" s="11" t="n">
        <f aca="false">O35-O41</f>
        <v>6636.93487290054</v>
      </c>
      <c r="P42" s="11" t="n">
        <f aca="false">P35-P41</f>
        <v>7598.46371778884</v>
      </c>
      <c r="Q42" s="11" t="n">
        <f aca="false">Q35-Q41</f>
        <v>8565.29494242611</v>
      </c>
      <c r="R42" s="11" t="n">
        <f aca="false">R35-R41</f>
        <v>9537.29598731861</v>
      </c>
      <c r="S42" s="11" t="n">
        <f aca="false">S35-S41</f>
        <v>10514.33760696</v>
      </c>
      <c r="T42" s="11" t="n">
        <f aca="false">T35-T41</f>
        <v>11496.2937869814</v>
      </c>
      <c r="U42" s="11" t="n">
        <f aca="false">U35-U41</f>
        <v>12468.3571443313</v>
      </c>
      <c r="V42" s="11" t="n">
        <f aca="false">V35-V41</f>
        <v>13430.7749995762</v>
      </c>
      <c r="W42" s="11" t="n">
        <f aca="false">W35-W41</f>
        <v>14383.7884902689</v>
      </c>
      <c r="X42" s="11" t="n">
        <f aca="false">X35-X41</f>
        <v>15327.6327255231</v>
      </c>
      <c r="Y42" s="11" t="n">
        <f aca="false">Y35-Y41</f>
        <v>16262.5369367249</v>
      </c>
      <c r="Z42" s="11" t="n">
        <f aca="false">Z35-Z41</f>
        <v>17188.7246244755</v>
      </c>
      <c r="AA42" s="11" t="n">
        <f aca="false">AA35-AA41</f>
        <v>18826.6947076153</v>
      </c>
      <c r="AB42" s="11" t="n">
        <f aca="false">AB35-AB41</f>
        <v>19771.4248566116</v>
      </c>
      <c r="AC42" s="11" t="n">
        <f aca="false">AC35-AC41</f>
        <v>20707.7244875254</v>
      </c>
      <c r="AD42" s="11" t="n">
        <f aca="false">AD35-AD41</f>
        <v>21635.8043633087</v>
      </c>
      <c r="AE42" s="11" t="n">
        <f aca="false">AE35-AE41</f>
        <v>22555.8699778398</v>
      </c>
      <c r="AF42" s="11" t="n">
        <f aca="false">AF35-AF41</f>
        <v>23468.12168765</v>
      </c>
      <c r="AG42" s="11" t="n">
        <f aca="false">AG35-AG41</f>
        <v>24357.5671047149</v>
      </c>
      <c r="AH42" s="11" t="n">
        <f aca="false">AH35-AH41</f>
        <v>25224.7763863532</v>
      </c>
      <c r="AI42" s="11" t="n">
        <f aca="false">AI35-AI41</f>
        <v>26070.3054359506</v>
      </c>
      <c r="AJ42" s="11" t="n">
        <f aca="false">AJ35-AJ41</f>
        <v>26894.696259308</v>
      </c>
      <c r="AK42" s="11" t="n">
        <f aca="false">AK35-AK41</f>
        <v>27698.4773120815</v>
      </c>
      <c r="AL42" s="11" t="n">
        <f aca="false">AL35-AL41</f>
        <v>28482.1638385357</v>
      </c>
      <c r="AM42" s="11" t="n">
        <f aca="false">AM35-AM41</f>
        <v>30388.1892569582</v>
      </c>
      <c r="AN42" s="11" t="n">
        <f aca="false">AN35-AN41</f>
        <v>31161.7576676181</v>
      </c>
      <c r="AO42" s="11" t="n">
        <f aca="false">AO35-AO41</f>
        <v>31915.9868680115</v>
      </c>
      <c r="AP42" s="11" t="n">
        <f aca="false">AP35-AP41</f>
        <v>32651.3603383951</v>
      </c>
      <c r="AQ42" s="11" t="n">
        <f aca="false">AQ35-AQ41</f>
        <v>33368.3494720191</v>
      </c>
      <c r="AR42" s="11" t="n">
        <f aca="false">AR35-AR41</f>
        <v>34067.4138773025</v>
      </c>
      <c r="AS42" s="11" t="n">
        <f aca="false">AS35-AS41</f>
        <v>34749.0016724539</v>
      </c>
      <c r="AT42" s="11" t="n">
        <f aca="false">AT35-AT41</f>
        <v>35413.5497727264</v>
      </c>
      <c r="AU42" s="11" t="n">
        <f aca="false">AU35-AU41</f>
        <v>36061.4841704921</v>
      </c>
      <c r="AV42" s="11" t="n">
        <f aca="false">AV35-AV41</f>
        <v>36693.2202083137</v>
      </c>
      <c r="AW42" s="11" t="n">
        <f aca="false">AW35-AW41</f>
        <v>37309.1628451897</v>
      </c>
      <c r="AX42" s="11" t="n">
        <f aca="false">AX35-AX41</f>
        <v>37909.7069161439</v>
      </c>
      <c r="AY42" s="11" t="n">
        <f aca="false">AY35-AY41</f>
        <v>39979.8934814232</v>
      </c>
      <c r="AZ42" s="11" t="n">
        <f aca="false">AZ35-AZ41</f>
        <v>40572.507709784</v>
      </c>
      <c r="BA42" s="11" t="n">
        <f aca="false">BA35-BA41</f>
        <v>41150.3065824358</v>
      </c>
      <c r="BB42" s="11" t="n">
        <f aca="false">BB35-BB41</f>
        <v>41713.6604832713</v>
      </c>
      <c r="BC42" s="11" t="n">
        <f aca="false">BC35-BC41</f>
        <v>42262.9305365859</v>
      </c>
      <c r="BD42" s="11" t="n">
        <f aca="false">BD35-BD41</f>
        <v>42798.4688385677</v>
      </c>
      <c r="BE42" s="11" t="n">
        <f aca="false">BE35-BE41</f>
        <v>43320.6186829999</v>
      </c>
      <c r="BF42" s="11" t="n">
        <f aca="false">BF35-BF41</f>
        <v>43829.7147813213</v>
      </c>
      <c r="BG42" s="11" t="n">
        <f aca="false">BG35-BG41</f>
        <v>44326.0834771847</v>
      </c>
      <c r="BH42" s="11" t="n">
        <f aca="false">BH35-BH41</f>
        <v>44810.0429556515</v>
      </c>
      <c r="BI42" s="11" t="n">
        <f aca="false">BI35-BI41</f>
        <v>45281.9034471566</v>
      </c>
      <c r="BJ42" s="11" t="n">
        <f aca="false">BJ35-BJ41</f>
        <v>45741.9674263741</v>
      </c>
    </row>
    <row r="43" customFormat="false" ht="15" hidden="false" customHeight="false" outlineLevel="0" collapsed="false">
      <c r="A43" s="5" t="s">
        <v>13</v>
      </c>
      <c r="C43" s="9" t="n">
        <f aca="false">IF(C35=0,0,C42/C35)</f>
        <v>-1.8004628178469</v>
      </c>
      <c r="D43" s="9" t="n">
        <f aca="false">IF(D35=0,0,D42/D35)</f>
        <v>-0.121384971506407</v>
      </c>
      <c r="E43" s="9" t="n">
        <f aca="false">IF(E35=0,0,E42/E35)</f>
        <v>0.300141036048566</v>
      </c>
      <c r="F43" s="9" t="n">
        <f aca="false">IF(F35=0,0,F42/F35)</f>
        <v>0.469454103580555</v>
      </c>
      <c r="G43" s="9" t="n">
        <f aca="false">IF(G35=0,0,G42/G35)</f>
        <v>0.554462000576294</v>
      </c>
      <c r="H43" s="9" t="n">
        <f aca="false">IF(H35=0,0,H42/H35)</f>
        <v>0.603238742986476</v>
      </c>
      <c r="I43" s="9" t="n">
        <f aca="false">IF(I35=0,0,I42/I35)</f>
        <v>0.635532891396856</v>
      </c>
      <c r="J43" s="9" t="n">
        <f aca="false">IF(J35=0,0,J42/J35)</f>
        <v>0.657536846975115</v>
      </c>
      <c r="K43" s="9" t="n">
        <f aca="false">IF(K35=0,0,K42/K35)</f>
        <v>0.673032856789979</v>
      </c>
      <c r="L43" s="9" t="n">
        <f aca="false">IF(L35=0,0,L42/L35)</f>
        <v>0.684293352648269</v>
      </c>
      <c r="M43" s="9" t="n">
        <f aca="false">IF(M35=0,0,M42/M35)</f>
        <v>0.692708696195392</v>
      </c>
      <c r="N43" s="9" t="n">
        <f aca="false">IF(N35=0,0,N42/N35)</f>
        <v>0.699154076908683</v>
      </c>
      <c r="O43" s="9" t="n">
        <f aca="false">IF(O35=0,0,O42/O35)</f>
        <v>0.71170767746419</v>
      </c>
      <c r="P43" s="9" t="n">
        <f aca="false">IF(P35=0,0,P42/P35)</f>
        <v>0.71530218812417</v>
      </c>
      <c r="Q43" s="9" t="n">
        <f aca="false">IF(Q35=0,0,Q42/Q35)</f>
        <v>0.718187656627599</v>
      </c>
      <c r="R43" s="9" t="n">
        <f aca="false">IF(R35=0,0,R42/R35)</f>
        <v>0.720567914342764</v>
      </c>
      <c r="S43" s="9" t="n">
        <f aca="false">IF(S35=0,0,S42/S35)</f>
        <v>0.722574989879593</v>
      </c>
      <c r="T43" s="9" t="n">
        <f aca="false">IF(T35=0,0,T42/T35)</f>
        <v>0.724298186843557</v>
      </c>
      <c r="U43" s="9" t="n">
        <f aca="false">IF(U35=0,0,U42/U35)</f>
        <v>0.725804974341295</v>
      </c>
      <c r="V43" s="9" t="n">
        <f aca="false">IF(V35=0,0,V42/V35)</f>
        <v>0.72714373336254</v>
      </c>
      <c r="W43" s="9" t="n">
        <f aca="false">IF(W35=0,0,W42/W35)</f>
        <v>0.728349297865156</v>
      </c>
      <c r="X43" s="9" t="n">
        <f aca="false">IF(X35=0,0,X42/X35)</f>
        <v>0.729447384559415</v>
      </c>
      <c r="Y43" s="9" t="n">
        <f aca="false">IF(Y35=0,0,Y42/Y35)</f>
        <v>0.730457391280858</v>
      </c>
      <c r="Z43" s="9" t="n">
        <f aca="false">IF(Z35=0,0,Z42/Z35)</f>
        <v>0.731394224370521</v>
      </c>
      <c r="AA43" s="9" t="n">
        <f aca="false">IF(AA35=0,0,AA42/AA35)</f>
        <v>0.739222841403247</v>
      </c>
      <c r="AB43" s="9" t="n">
        <f aca="false">IF(AB35=0,0,AB42/AB35)</f>
        <v>0.740021867429838</v>
      </c>
      <c r="AC43" s="9" t="n">
        <f aca="false">IF(AC35=0,0,AC42/AC35)</f>
        <v>0.740777299569886</v>
      </c>
      <c r="AD43" s="9" t="n">
        <f aca="false">IF(AD35=0,0,AD42/AD35)</f>
        <v>0.741494972916209</v>
      </c>
      <c r="AE43" s="9" t="n">
        <f aca="false">IF(AE35=0,0,AE42/AE35)</f>
        <v>0.742179673196335</v>
      </c>
      <c r="AF43" s="9" t="n">
        <f aca="false">IF(AF35=0,0,AF42/AF35)</f>
        <v>0.74283536220888</v>
      </c>
      <c r="AG43" s="9" t="n">
        <f aca="false">IF(AG35=0,0,AG42/AG35)</f>
        <v>0.743428367091794</v>
      </c>
      <c r="AH43" s="9" t="n">
        <f aca="false">IF(AH35=0,0,AH42/AH35)</f>
        <v>0.743967101920654</v>
      </c>
      <c r="AI43" s="9" t="n">
        <f aca="false">IF(AI35=0,0,AI42/AI35)</f>
        <v>0.744458540045451</v>
      </c>
      <c r="AJ43" s="9" t="n">
        <f aca="false">IF(AJ35=0,0,AJ42/AJ35)</f>
        <v>0.744908509823991</v>
      </c>
      <c r="AK43" s="9" t="n">
        <f aca="false">IF(AK35=0,0,AK42/AK35)</f>
        <v>0.745321920382378</v>
      </c>
      <c r="AL43" s="9" t="n">
        <f aca="false">IF(AL35=0,0,AL42/AL35)</f>
        <v>0.74570293598528</v>
      </c>
      <c r="AM43" s="9" t="n">
        <f aca="false">IF(AM35=0,0,AM42/AM35)</f>
        <v>0.752606905014393</v>
      </c>
      <c r="AN43" s="9" t="n">
        <f aca="false">IF(AN35=0,0,AN42/AN35)</f>
        <v>0.752923789366655</v>
      </c>
      <c r="AO43" s="9" t="n">
        <f aca="false">IF(AO35=0,0,AO42/AO35)</f>
        <v>0.753218200725646</v>
      </c>
      <c r="AP43" s="9" t="n">
        <f aca="false">IF(AP35=0,0,AP42/AP35)</f>
        <v>0.753492362990627</v>
      </c>
      <c r="AQ43" s="9" t="n">
        <f aca="false">IF(AQ35=0,0,AQ42/AQ35)</f>
        <v>0.753748216476996</v>
      </c>
      <c r="AR43" s="9" t="n">
        <f aca="false">IF(AR35=0,0,AR42/AR35)</f>
        <v>0.753987461734194</v>
      </c>
      <c r="AS43" s="9" t="n">
        <f aca="false">IF(AS35=0,0,AS42/AS35)</f>
        <v>0.754211595482272</v>
      </c>
      <c r="AT43" s="9" t="n">
        <f aca="false">IF(AT35=0,0,AT42/AT35)</f>
        <v>0.754421940272845</v>
      </c>
      <c r="AU43" s="9" t="n">
        <f aca="false">IF(AU35=0,0,AU42/AU35)</f>
        <v>0.754619669116822</v>
      </c>
      <c r="AV43" s="9" t="n">
        <f aca="false">IF(AV35=0,0,AV42/AV35)</f>
        <v>0.754805826047951</v>
      </c>
      <c r="AW43" s="9" t="n">
        <f aca="false">IF(AW35=0,0,AW42/AW35)</f>
        <v>0.754981343383705</v>
      </c>
      <c r="AX43" s="9" t="n">
        <f aca="false">IF(AX35=0,0,AX42/AX35)</f>
        <v>0.755147056286206</v>
      </c>
      <c r="AY43" s="9" t="n">
        <f aca="false">IF(AY35=0,0,AY42/AY35)</f>
        <v>0.761586131168337</v>
      </c>
      <c r="AZ43" s="9" t="n">
        <f aca="false">IF(AZ35=0,0,AZ42/AZ35)</f>
        <v>0.761730093082913</v>
      </c>
      <c r="BA43" s="9" t="n">
        <f aca="false">IF(BA35=0,0,BA42/BA35)</f>
        <v>0.761866513899817</v>
      </c>
      <c r="BB43" s="9" t="n">
        <f aca="false">IF(BB35=0,0,BB42/BB35)</f>
        <v>0.761995930608212</v>
      </c>
      <c r="BC43" s="9" t="n">
        <f aca="false">IF(BC35=0,0,BC42/BC35)</f>
        <v>0.762118830709128</v>
      </c>
      <c r="BD43" s="9" t="n">
        <f aca="false">IF(BD35=0,0,BD42/BD35)</f>
        <v>0.762235657792542</v>
      </c>
      <c r="BE43" s="9" t="n">
        <f aca="false">IF(BE35=0,0,BE42/BE35)</f>
        <v>0.762346816376713</v>
      </c>
      <c r="BF43" s="9" t="n">
        <f aca="false">IF(BF35=0,0,BF42/BF35)</f>
        <v>0.76245267612117</v>
      </c>
      <c r="BG43" s="9" t="n">
        <f aca="false">IF(BG35=0,0,BG42/BG35)</f>
        <v>0.762553575505932</v>
      </c>
      <c r="BH43" s="9" t="n">
        <f aca="false">IF(BH35=0,0,BH42/BH35)</f>
        <v>0.762649825054221</v>
      </c>
      <c r="BI43" s="9" t="n">
        <f aca="false">IF(BI35=0,0,BI42/BI35)</f>
        <v>0.762741710163423</v>
      </c>
      <c r="BJ43" s="9" t="n">
        <f aca="false">IF(BJ35=0,0,BJ42/BJ35)</f>
        <v>0.762829493598733</v>
      </c>
    </row>
    <row r="45" customFormat="false" ht="15" hidden="false" customHeight="false" outlineLevel="0" collapsed="false">
      <c r="A45" s="10" t="s">
        <v>131</v>
      </c>
    </row>
    <row r="46" customFormat="false" ht="15" hidden="false" customHeight="false" outlineLevel="0" collapsed="false">
      <c r="A46" s="5" t="s">
        <v>132</v>
      </c>
      <c r="C46" s="8" t="n">
        <f aca="false">INDEX(Assumptions!$B$50:$F$50,C5)*Assumptions!$B$39/12</f>
        <v>2916.66666666667</v>
      </c>
      <c r="D46" s="8" t="n">
        <f aca="false">INDEX(Assumptions!$B$50:$F$50,D5)*Assumptions!$B$39/12</f>
        <v>2916.66666666667</v>
      </c>
      <c r="E46" s="8" t="n">
        <f aca="false">INDEX(Assumptions!$B$50:$F$50,E5)*Assumptions!$B$39/12</f>
        <v>2916.66666666667</v>
      </c>
      <c r="F46" s="8" t="n">
        <f aca="false">INDEX(Assumptions!$B$50:$F$50,F5)*Assumptions!$B$39/12</f>
        <v>2916.66666666667</v>
      </c>
      <c r="G46" s="8" t="n">
        <f aca="false">INDEX(Assumptions!$B$50:$F$50,G5)*Assumptions!$B$39/12</f>
        <v>2916.66666666667</v>
      </c>
      <c r="H46" s="8" t="n">
        <f aca="false">INDEX(Assumptions!$B$50:$F$50,H5)*Assumptions!$B$39/12</f>
        <v>2916.66666666667</v>
      </c>
      <c r="I46" s="8" t="n">
        <f aca="false">INDEX(Assumptions!$B$50:$F$50,I5)*Assumptions!$B$39/12</f>
        <v>2916.66666666667</v>
      </c>
      <c r="J46" s="8" t="n">
        <f aca="false">INDEX(Assumptions!$B$50:$F$50,J5)*Assumptions!$B$39/12</f>
        <v>2916.66666666667</v>
      </c>
      <c r="K46" s="8" t="n">
        <f aca="false">INDEX(Assumptions!$B$50:$F$50,K5)*Assumptions!$B$39/12</f>
        <v>2916.66666666667</v>
      </c>
      <c r="L46" s="8" t="n">
        <f aca="false">INDEX(Assumptions!$B$50:$F$50,L5)*Assumptions!$B$39/12</f>
        <v>2916.66666666667</v>
      </c>
      <c r="M46" s="8" t="n">
        <f aca="false">INDEX(Assumptions!$B$50:$F$50,M5)*Assumptions!$B$39/12</f>
        <v>2916.66666666667</v>
      </c>
      <c r="N46" s="8" t="n">
        <f aca="false">INDEX(Assumptions!$B$50:$F$50,N5)*Assumptions!$B$39/12</f>
        <v>2916.66666666667</v>
      </c>
      <c r="O46" s="8" t="n">
        <f aca="false">INDEX(Assumptions!$B$50:$F$50,O5)*Assumptions!$B$39/12</f>
        <v>5833.33333333333</v>
      </c>
      <c r="P46" s="8" t="n">
        <f aca="false">INDEX(Assumptions!$B$50:$F$50,P5)*Assumptions!$B$39/12</f>
        <v>5833.33333333333</v>
      </c>
      <c r="Q46" s="8" t="n">
        <f aca="false">INDEX(Assumptions!$B$50:$F$50,Q5)*Assumptions!$B$39/12</f>
        <v>5833.33333333333</v>
      </c>
      <c r="R46" s="8" t="n">
        <f aca="false">INDEX(Assumptions!$B$50:$F$50,R5)*Assumptions!$B$39/12</f>
        <v>5833.33333333333</v>
      </c>
      <c r="S46" s="8" t="n">
        <f aca="false">INDEX(Assumptions!$B$50:$F$50,S5)*Assumptions!$B$39/12</f>
        <v>5833.33333333333</v>
      </c>
      <c r="T46" s="8" t="n">
        <f aca="false">INDEX(Assumptions!$B$50:$F$50,T5)*Assumptions!$B$39/12</f>
        <v>5833.33333333333</v>
      </c>
      <c r="U46" s="8" t="n">
        <f aca="false">INDEX(Assumptions!$B$50:$F$50,U5)*Assumptions!$B$39/12</f>
        <v>5833.33333333333</v>
      </c>
      <c r="V46" s="8" t="n">
        <f aca="false">INDEX(Assumptions!$B$50:$F$50,V5)*Assumptions!$B$39/12</f>
        <v>5833.33333333333</v>
      </c>
      <c r="W46" s="8" t="n">
        <f aca="false">INDEX(Assumptions!$B$50:$F$50,W5)*Assumptions!$B$39/12</f>
        <v>5833.33333333333</v>
      </c>
      <c r="X46" s="8" t="n">
        <f aca="false">INDEX(Assumptions!$B$50:$F$50,X5)*Assumptions!$B$39/12</f>
        <v>5833.33333333333</v>
      </c>
      <c r="Y46" s="8" t="n">
        <f aca="false">INDEX(Assumptions!$B$50:$F$50,Y5)*Assumptions!$B$39/12</f>
        <v>5833.33333333333</v>
      </c>
      <c r="Z46" s="8" t="n">
        <f aca="false">INDEX(Assumptions!$B$50:$F$50,Z5)*Assumptions!$B$39/12</f>
        <v>5833.33333333333</v>
      </c>
      <c r="AA46" s="8" t="n">
        <f aca="false">INDEX(Assumptions!$B$50:$F$50,AA5)*Assumptions!$B$39/12</f>
        <v>11666.6666666667</v>
      </c>
      <c r="AB46" s="8" t="n">
        <f aca="false">INDEX(Assumptions!$B$50:$F$50,AB5)*Assumptions!$B$39/12</f>
        <v>11666.6666666667</v>
      </c>
      <c r="AC46" s="8" t="n">
        <f aca="false">INDEX(Assumptions!$B$50:$F$50,AC5)*Assumptions!$B$39/12</f>
        <v>11666.6666666667</v>
      </c>
      <c r="AD46" s="8" t="n">
        <f aca="false">INDEX(Assumptions!$B$50:$F$50,AD5)*Assumptions!$B$39/12</f>
        <v>11666.6666666667</v>
      </c>
      <c r="AE46" s="8" t="n">
        <f aca="false">INDEX(Assumptions!$B$50:$F$50,AE5)*Assumptions!$B$39/12</f>
        <v>11666.6666666667</v>
      </c>
      <c r="AF46" s="8" t="n">
        <f aca="false">INDEX(Assumptions!$B$50:$F$50,AF5)*Assumptions!$B$39/12</f>
        <v>11666.6666666667</v>
      </c>
      <c r="AG46" s="8" t="n">
        <f aca="false">INDEX(Assumptions!$B$50:$F$50,AG5)*Assumptions!$B$39/12</f>
        <v>11666.6666666667</v>
      </c>
      <c r="AH46" s="8" t="n">
        <f aca="false">INDEX(Assumptions!$B$50:$F$50,AH5)*Assumptions!$B$39/12</f>
        <v>11666.6666666667</v>
      </c>
      <c r="AI46" s="8" t="n">
        <f aca="false">INDEX(Assumptions!$B$50:$F$50,AI5)*Assumptions!$B$39/12</f>
        <v>11666.6666666667</v>
      </c>
      <c r="AJ46" s="8" t="n">
        <f aca="false">INDEX(Assumptions!$B$50:$F$50,AJ5)*Assumptions!$B$39/12</f>
        <v>11666.6666666667</v>
      </c>
      <c r="AK46" s="8" t="n">
        <f aca="false">INDEX(Assumptions!$B$50:$F$50,AK5)*Assumptions!$B$39/12</f>
        <v>11666.6666666667</v>
      </c>
      <c r="AL46" s="8" t="n">
        <f aca="false">INDEX(Assumptions!$B$50:$F$50,AL5)*Assumptions!$B$39/12</f>
        <v>11666.6666666667</v>
      </c>
      <c r="AM46" s="8" t="n">
        <f aca="false">INDEX(Assumptions!$B$50:$F$50,AM5)*Assumptions!$B$39/12</f>
        <v>17500</v>
      </c>
      <c r="AN46" s="8" t="n">
        <f aca="false">INDEX(Assumptions!$B$50:$F$50,AN5)*Assumptions!$B$39/12</f>
        <v>17500</v>
      </c>
      <c r="AO46" s="8" t="n">
        <f aca="false">INDEX(Assumptions!$B$50:$F$50,AO5)*Assumptions!$B$39/12</f>
        <v>17500</v>
      </c>
      <c r="AP46" s="8" t="n">
        <f aca="false">INDEX(Assumptions!$B$50:$F$50,AP5)*Assumptions!$B$39/12</f>
        <v>17500</v>
      </c>
      <c r="AQ46" s="8" t="n">
        <f aca="false">INDEX(Assumptions!$B$50:$F$50,AQ5)*Assumptions!$B$39/12</f>
        <v>17500</v>
      </c>
      <c r="AR46" s="8" t="n">
        <f aca="false">INDEX(Assumptions!$B$50:$F$50,AR5)*Assumptions!$B$39/12</f>
        <v>17500</v>
      </c>
      <c r="AS46" s="8" t="n">
        <f aca="false">INDEX(Assumptions!$B$50:$F$50,AS5)*Assumptions!$B$39/12</f>
        <v>17500</v>
      </c>
      <c r="AT46" s="8" t="n">
        <f aca="false">INDEX(Assumptions!$B$50:$F$50,AT5)*Assumptions!$B$39/12</f>
        <v>17500</v>
      </c>
      <c r="AU46" s="8" t="n">
        <f aca="false">INDEX(Assumptions!$B$50:$F$50,AU5)*Assumptions!$B$39/12</f>
        <v>17500</v>
      </c>
      <c r="AV46" s="8" t="n">
        <f aca="false">INDEX(Assumptions!$B$50:$F$50,AV5)*Assumptions!$B$39/12</f>
        <v>17500</v>
      </c>
      <c r="AW46" s="8" t="n">
        <f aca="false">INDEX(Assumptions!$B$50:$F$50,AW5)*Assumptions!$B$39/12</f>
        <v>17500</v>
      </c>
      <c r="AX46" s="8" t="n">
        <f aca="false">INDEX(Assumptions!$B$50:$F$50,AX5)*Assumptions!$B$39/12</f>
        <v>17500</v>
      </c>
      <c r="AY46" s="8" t="n">
        <f aca="false">INDEX(Assumptions!$B$50:$F$50,AY5)*Assumptions!$B$39/12</f>
        <v>23333.3333333333</v>
      </c>
      <c r="AZ46" s="8" t="n">
        <f aca="false">INDEX(Assumptions!$B$50:$F$50,AZ5)*Assumptions!$B$39/12</f>
        <v>23333.3333333333</v>
      </c>
      <c r="BA46" s="8" t="n">
        <f aca="false">INDEX(Assumptions!$B$50:$F$50,BA5)*Assumptions!$B$39/12</f>
        <v>23333.3333333333</v>
      </c>
      <c r="BB46" s="8" t="n">
        <f aca="false">INDEX(Assumptions!$B$50:$F$50,BB5)*Assumptions!$B$39/12</f>
        <v>23333.3333333333</v>
      </c>
      <c r="BC46" s="8" t="n">
        <f aca="false">INDEX(Assumptions!$B$50:$F$50,BC5)*Assumptions!$B$39/12</f>
        <v>23333.3333333333</v>
      </c>
      <c r="BD46" s="8" t="n">
        <f aca="false">INDEX(Assumptions!$B$50:$F$50,BD5)*Assumptions!$B$39/12</f>
        <v>23333.3333333333</v>
      </c>
      <c r="BE46" s="8" t="n">
        <f aca="false">INDEX(Assumptions!$B$50:$F$50,BE5)*Assumptions!$B$39/12</f>
        <v>23333.3333333333</v>
      </c>
      <c r="BF46" s="8" t="n">
        <f aca="false">INDEX(Assumptions!$B$50:$F$50,BF5)*Assumptions!$B$39/12</f>
        <v>23333.3333333333</v>
      </c>
      <c r="BG46" s="8" t="n">
        <f aca="false">INDEX(Assumptions!$B$50:$F$50,BG5)*Assumptions!$B$39/12</f>
        <v>23333.3333333333</v>
      </c>
      <c r="BH46" s="8" t="n">
        <f aca="false">INDEX(Assumptions!$B$50:$F$50,BH5)*Assumptions!$B$39/12</f>
        <v>23333.3333333333</v>
      </c>
      <c r="BI46" s="8" t="n">
        <f aca="false">INDEX(Assumptions!$B$50:$F$50,BI5)*Assumptions!$B$39/12</f>
        <v>23333.3333333333</v>
      </c>
      <c r="BJ46" s="8" t="n">
        <f aca="false">INDEX(Assumptions!$B$50:$F$50,BJ5)*Assumptions!$B$39/12</f>
        <v>23333.3333333333</v>
      </c>
    </row>
    <row r="47" customFormat="false" ht="15" hidden="false" customHeight="false" outlineLevel="0" collapsed="false">
      <c r="A47" s="5" t="s">
        <v>133</v>
      </c>
      <c r="C47" s="8" t="n">
        <f aca="false">INDEX(Assumptions!$B$51:$F$51,C5)/12</f>
        <v>0</v>
      </c>
      <c r="D47" s="8" t="n">
        <f aca="false">INDEX(Assumptions!$B$51:$F$51,D5)/12</f>
        <v>0</v>
      </c>
      <c r="E47" s="8" t="n">
        <f aca="false">INDEX(Assumptions!$B$51:$F$51,E5)/12</f>
        <v>0</v>
      </c>
      <c r="F47" s="8" t="n">
        <f aca="false">INDEX(Assumptions!$B$51:$F$51,F5)/12</f>
        <v>0</v>
      </c>
      <c r="G47" s="8" t="n">
        <f aca="false">INDEX(Assumptions!$B$51:$F$51,G5)/12</f>
        <v>0</v>
      </c>
      <c r="H47" s="8" t="n">
        <f aca="false">INDEX(Assumptions!$B$51:$F$51,H5)/12</f>
        <v>0</v>
      </c>
      <c r="I47" s="8" t="n">
        <f aca="false">INDEX(Assumptions!$B$51:$F$51,I5)/12</f>
        <v>0</v>
      </c>
      <c r="J47" s="8" t="n">
        <f aca="false">INDEX(Assumptions!$B$51:$F$51,J5)/12</f>
        <v>0</v>
      </c>
      <c r="K47" s="8" t="n">
        <f aca="false">INDEX(Assumptions!$B$51:$F$51,K5)/12</f>
        <v>0</v>
      </c>
      <c r="L47" s="8" t="n">
        <f aca="false">INDEX(Assumptions!$B$51:$F$51,L5)/12</f>
        <v>0</v>
      </c>
      <c r="M47" s="8" t="n">
        <f aca="false">INDEX(Assumptions!$B$51:$F$51,M5)/12</f>
        <v>0</v>
      </c>
      <c r="N47" s="8" t="n">
        <f aca="false">INDEX(Assumptions!$B$51:$F$51,N5)/12</f>
        <v>0</v>
      </c>
      <c r="O47" s="8" t="n">
        <f aca="false">INDEX(Assumptions!$B$51:$F$51,O5)/12</f>
        <v>0</v>
      </c>
      <c r="P47" s="8" t="n">
        <f aca="false">INDEX(Assumptions!$B$51:$F$51,P5)/12</f>
        <v>0</v>
      </c>
      <c r="Q47" s="8" t="n">
        <f aca="false">INDEX(Assumptions!$B$51:$F$51,Q5)/12</f>
        <v>0</v>
      </c>
      <c r="R47" s="8" t="n">
        <f aca="false">INDEX(Assumptions!$B$51:$F$51,R5)/12</f>
        <v>0</v>
      </c>
      <c r="S47" s="8" t="n">
        <f aca="false">INDEX(Assumptions!$B$51:$F$51,S5)/12</f>
        <v>0</v>
      </c>
      <c r="T47" s="8" t="n">
        <f aca="false">INDEX(Assumptions!$B$51:$F$51,T5)/12</f>
        <v>0</v>
      </c>
      <c r="U47" s="8" t="n">
        <f aca="false">INDEX(Assumptions!$B$51:$F$51,U5)/12</f>
        <v>0</v>
      </c>
      <c r="V47" s="8" t="n">
        <f aca="false">INDEX(Assumptions!$B$51:$F$51,V5)/12</f>
        <v>0</v>
      </c>
      <c r="W47" s="8" t="n">
        <f aca="false">INDEX(Assumptions!$B$51:$F$51,W5)/12</f>
        <v>0</v>
      </c>
      <c r="X47" s="8" t="n">
        <f aca="false">INDEX(Assumptions!$B$51:$F$51,X5)/12</f>
        <v>0</v>
      </c>
      <c r="Y47" s="8" t="n">
        <f aca="false">INDEX(Assumptions!$B$51:$F$51,Y5)/12</f>
        <v>0</v>
      </c>
      <c r="Z47" s="8" t="n">
        <f aca="false">INDEX(Assumptions!$B$51:$F$51,Z5)/12</f>
        <v>0</v>
      </c>
      <c r="AA47" s="8" t="n">
        <f aca="false">INDEX(Assumptions!$B$51:$F$51,AA5)/12</f>
        <v>5000</v>
      </c>
      <c r="AB47" s="8" t="n">
        <f aca="false">INDEX(Assumptions!$B$51:$F$51,AB5)/12</f>
        <v>5000</v>
      </c>
      <c r="AC47" s="8" t="n">
        <f aca="false">INDEX(Assumptions!$B$51:$F$51,AC5)/12</f>
        <v>5000</v>
      </c>
      <c r="AD47" s="8" t="n">
        <f aca="false">INDEX(Assumptions!$B$51:$F$51,AD5)/12</f>
        <v>5000</v>
      </c>
      <c r="AE47" s="8" t="n">
        <f aca="false">INDEX(Assumptions!$B$51:$F$51,AE5)/12</f>
        <v>5000</v>
      </c>
      <c r="AF47" s="8" t="n">
        <f aca="false">INDEX(Assumptions!$B$51:$F$51,AF5)/12</f>
        <v>5000</v>
      </c>
      <c r="AG47" s="8" t="n">
        <f aca="false">INDEX(Assumptions!$B$51:$F$51,AG5)/12</f>
        <v>5000</v>
      </c>
      <c r="AH47" s="8" t="n">
        <f aca="false">INDEX(Assumptions!$B$51:$F$51,AH5)/12</f>
        <v>5000</v>
      </c>
      <c r="AI47" s="8" t="n">
        <f aca="false">INDEX(Assumptions!$B$51:$F$51,AI5)/12</f>
        <v>5000</v>
      </c>
      <c r="AJ47" s="8" t="n">
        <f aca="false">INDEX(Assumptions!$B$51:$F$51,AJ5)/12</f>
        <v>5000</v>
      </c>
      <c r="AK47" s="8" t="n">
        <f aca="false">INDEX(Assumptions!$B$51:$F$51,AK5)/12</f>
        <v>5000</v>
      </c>
      <c r="AL47" s="8" t="n">
        <f aca="false">INDEX(Assumptions!$B$51:$F$51,AL5)/12</f>
        <v>5000</v>
      </c>
      <c r="AM47" s="8" t="n">
        <f aca="false">INDEX(Assumptions!$B$51:$F$51,AM5)/12</f>
        <v>7500</v>
      </c>
      <c r="AN47" s="8" t="n">
        <f aca="false">INDEX(Assumptions!$B$51:$F$51,AN5)/12</f>
        <v>7500</v>
      </c>
      <c r="AO47" s="8" t="n">
        <f aca="false">INDEX(Assumptions!$B$51:$F$51,AO5)/12</f>
        <v>7500</v>
      </c>
      <c r="AP47" s="8" t="n">
        <f aca="false">INDEX(Assumptions!$B$51:$F$51,AP5)/12</f>
        <v>7500</v>
      </c>
      <c r="AQ47" s="8" t="n">
        <f aca="false">INDEX(Assumptions!$B$51:$F$51,AQ5)/12</f>
        <v>7500</v>
      </c>
      <c r="AR47" s="8" t="n">
        <f aca="false">INDEX(Assumptions!$B$51:$F$51,AR5)/12</f>
        <v>7500</v>
      </c>
      <c r="AS47" s="8" t="n">
        <f aca="false">INDEX(Assumptions!$B$51:$F$51,AS5)/12</f>
        <v>7500</v>
      </c>
      <c r="AT47" s="8" t="n">
        <f aca="false">INDEX(Assumptions!$B$51:$F$51,AT5)/12</f>
        <v>7500</v>
      </c>
      <c r="AU47" s="8" t="n">
        <f aca="false">INDEX(Assumptions!$B$51:$F$51,AU5)/12</f>
        <v>7500</v>
      </c>
      <c r="AV47" s="8" t="n">
        <f aca="false">INDEX(Assumptions!$B$51:$F$51,AV5)/12</f>
        <v>7500</v>
      </c>
      <c r="AW47" s="8" t="n">
        <f aca="false">INDEX(Assumptions!$B$51:$F$51,AW5)/12</f>
        <v>7500</v>
      </c>
      <c r="AX47" s="8" t="n">
        <f aca="false">INDEX(Assumptions!$B$51:$F$51,AX5)/12</f>
        <v>7500</v>
      </c>
      <c r="AY47" s="8" t="n">
        <f aca="false">INDEX(Assumptions!$B$51:$F$51,AY5)/12</f>
        <v>10000</v>
      </c>
      <c r="AZ47" s="8" t="n">
        <f aca="false">INDEX(Assumptions!$B$51:$F$51,AZ5)/12</f>
        <v>10000</v>
      </c>
      <c r="BA47" s="8" t="n">
        <f aca="false">INDEX(Assumptions!$B$51:$F$51,BA5)/12</f>
        <v>10000</v>
      </c>
      <c r="BB47" s="8" t="n">
        <f aca="false">INDEX(Assumptions!$B$51:$F$51,BB5)/12</f>
        <v>10000</v>
      </c>
      <c r="BC47" s="8" t="n">
        <f aca="false">INDEX(Assumptions!$B$51:$F$51,BC5)/12</f>
        <v>10000</v>
      </c>
      <c r="BD47" s="8" t="n">
        <f aca="false">INDEX(Assumptions!$B$51:$F$51,BD5)/12</f>
        <v>10000</v>
      </c>
      <c r="BE47" s="8" t="n">
        <f aca="false">INDEX(Assumptions!$B$51:$F$51,BE5)/12</f>
        <v>10000</v>
      </c>
      <c r="BF47" s="8" t="n">
        <f aca="false">INDEX(Assumptions!$B$51:$F$51,BF5)/12</f>
        <v>10000</v>
      </c>
      <c r="BG47" s="8" t="n">
        <f aca="false">INDEX(Assumptions!$B$51:$F$51,BG5)/12</f>
        <v>10000</v>
      </c>
      <c r="BH47" s="8" t="n">
        <f aca="false">INDEX(Assumptions!$B$51:$F$51,BH5)/12</f>
        <v>10000</v>
      </c>
      <c r="BI47" s="8" t="n">
        <f aca="false">INDEX(Assumptions!$B$51:$F$51,BI5)/12</f>
        <v>10000</v>
      </c>
      <c r="BJ47" s="8" t="n">
        <f aca="false">INDEX(Assumptions!$B$51:$F$51,BJ5)/12</f>
        <v>10000</v>
      </c>
    </row>
    <row r="48" customFormat="false" ht="15" hidden="false" customHeight="false" outlineLevel="0" collapsed="false">
      <c r="A48" s="5" t="s">
        <v>134</v>
      </c>
      <c r="C48" s="8" t="n">
        <f aca="false">C29*Assumptions!$D$27+Assumptions!$B$40</f>
        <v>2367.050625</v>
      </c>
      <c r="D48" s="8" t="n">
        <f aca="false">D29*Assumptions!$D$27+Assumptions!$B$40</f>
        <v>3234.10125</v>
      </c>
      <c r="E48" s="8" t="n">
        <f aca="false">E29*Assumptions!$D$27+Assumptions!$B$40</f>
        <v>4101.151875</v>
      </c>
      <c r="F48" s="8" t="n">
        <f aca="false">F29*Assumptions!$D$27+Assumptions!$B$40</f>
        <v>4968.2025</v>
      </c>
      <c r="G48" s="8" t="n">
        <f aca="false">G29*Assumptions!$D$27+Assumptions!$B$40</f>
        <v>5835.253125</v>
      </c>
      <c r="H48" s="8" t="n">
        <f aca="false">H29*Assumptions!$D$27+Assumptions!$B$40</f>
        <v>6702.30375</v>
      </c>
      <c r="I48" s="8" t="n">
        <f aca="false">I29*Assumptions!$D$27+Assumptions!$B$40</f>
        <v>7864.104375</v>
      </c>
      <c r="J48" s="8" t="n">
        <f aca="false">J29*Assumptions!$D$27+Assumptions!$B$40</f>
        <v>9025.905</v>
      </c>
      <c r="K48" s="8" t="n">
        <f aca="false">K29*Assumptions!$D$27+Assumptions!$B$40</f>
        <v>10187.705625</v>
      </c>
      <c r="L48" s="8" t="n">
        <f aca="false">L29*Assumptions!$D$27+Assumptions!$B$40</f>
        <v>11349.50625</v>
      </c>
      <c r="M48" s="8" t="n">
        <f aca="false">M29*Assumptions!$D$27+Assumptions!$B$40</f>
        <v>12511.306875</v>
      </c>
      <c r="N48" s="8" t="n">
        <f aca="false">N29*Assumptions!$D$27+Assumptions!$B$40</f>
        <v>13673.1075</v>
      </c>
      <c r="O48" s="8" t="n">
        <f aca="false">O29*Assumptions!$D$27+Assumptions!$B$40</f>
        <v>13967.8575</v>
      </c>
      <c r="P48" s="8" t="n">
        <f aca="false">P29*Assumptions!$D$27+Assumptions!$B$40</f>
        <v>14262.6075</v>
      </c>
      <c r="Q48" s="8" t="n">
        <f aca="false">Q29*Assumptions!$D$27+Assumptions!$B$40</f>
        <v>14557.3575</v>
      </c>
      <c r="R48" s="8" t="n">
        <f aca="false">R29*Assumptions!$D$27+Assumptions!$B$40</f>
        <v>14852.1075</v>
      </c>
      <c r="S48" s="8" t="n">
        <f aca="false">S29*Assumptions!$D$27+Assumptions!$B$40</f>
        <v>15146.8575</v>
      </c>
      <c r="T48" s="8" t="n">
        <f aca="false">T29*Assumptions!$D$27+Assumptions!$B$40</f>
        <v>15441.6075</v>
      </c>
      <c r="U48" s="8" t="n">
        <f aca="false">U29*Assumptions!$D$27+Assumptions!$B$40</f>
        <v>15552.631875</v>
      </c>
      <c r="V48" s="8" t="n">
        <f aca="false">V29*Assumptions!$D$27+Assumptions!$B$40</f>
        <v>15663.65625</v>
      </c>
      <c r="W48" s="8" t="n">
        <f aca="false">W29*Assumptions!$D$27+Assumptions!$B$40</f>
        <v>15774.680625</v>
      </c>
      <c r="X48" s="8" t="n">
        <f aca="false">X29*Assumptions!$D$27+Assumptions!$B$40</f>
        <v>15885.705</v>
      </c>
      <c r="Y48" s="8" t="n">
        <f aca="false">Y29*Assumptions!$D$27+Assumptions!$B$40</f>
        <v>15996.729375</v>
      </c>
      <c r="Z48" s="8" t="n">
        <f aca="false">Z29*Assumptions!$D$27+Assumptions!$B$40</f>
        <v>16107.75375</v>
      </c>
      <c r="AA48" s="8" t="n">
        <f aca="false">AA29*Assumptions!$D$27+Assumptions!$B$40</f>
        <v>16218.778125</v>
      </c>
      <c r="AB48" s="8" t="n">
        <f aca="false">AB29*Assumptions!$D$27+Assumptions!$B$40</f>
        <v>16329.8025</v>
      </c>
      <c r="AC48" s="8" t="n">
        <f aca="false">AC29*Assumptions!$D$27+Assumptions!$B$40</f>
        <v>16440.826875</v>
      </c>
      <c r="AD48" s="8" t="n">
        <f aca="false">AD29*Assumptions!$D$27+Assumptions!$B$40</f>
        <v>16551.85125</v>
      </c>
      <c r="AE48" s="8" t="n">
        <f aca="false">AE29*Assumptions!$D$27+Assumptions!$B$40</f>
        <v>16662.875625</v>
      </c>
      <c r="AF48" s="8" t="n">
        <f aca="false">AF29*Assumptions!$D$27+Assumptions!$B$40</f>
        <v>16773.9</v>
      </c>
      <c r="AG48" s="8" t="n">
        <f aca="false">AG29*Assumptions!$D$27+Assumptions!$B$40</f>
        <v>16773.9</v>
      </c>
      <c r="AH48" s="8" t="n">
        <f aca="false">AH29*Assumptions!$D$27+Assumptions!$B$40</f>
        <v>16773.9</v>
      </c>
      <c r="AI48" s="8" t="n">
        <f aca="false">AI29*Assumptions!$D$27+Assumptions!$B$40</f>
        <v>16773.9</v>
      </c>
      <c r="AJ48" s="8" t="n">
        <f aca="false">AJ29*Assumptions!$D$27+Assumptions!$B$40</f>
        <v>16773.9</v>
      </c>
      <c r="AK48" s="8" t="n">
        <f aca="false">AK29*Assumptions!$D$27+Assumptions!$B$40</f>
        <v>16773.9</v>
      </c>
      <c r="AL48" s="8" t="n">
        <f aca="false">AL29*Assumptions!$D$27+Assumptions!$B$40</f>
        <v>16773.9</v>
      </c>
      <c r="AM48" s="8" t="n">
        <f aca="false">AM29*Assumptions!$D$27+Assumptions!$B$40</f>
        <v>16773.9</v>
      </c>
      <c r="AN48" s="8" t="n">
        <f aca="false">AN29*Assumptions!$D$27+Assumptions!$B$40</f>
        <v>16773.9</v>
      </c>
      <c r="AO48" s="8" t="n">
        <f aca="false">AO29*Assumptions!$D$27+Assumptions!$B$40</f>
        <v>16773.9</v>
      </c>
      <c r="AP48" s="8" t="n">
        <f aca="false">AP29*Assumptions!$D$27+Assumptions!$B$40</f>
        <v>16773.9</v>
      </c>
      <c r="AQ48" s="8" t="n">
        <f aca="false">AQ29*Assumptions!$D$27+Assumptions!$B$40</f>
        <v>16773.9</v>
      </c>
      <c r="AR48" s="8" t="n">
        <f aca="false">AR29*Assumptions!$D$27+Assumptions!$B$40</f>
        <v>16773.9</v>
      </c>
      <c r="AS48" s="8" t="n">
        <f aca="false">AS29*Assumptions!$D$27+Assumptions!$B$40</f>
        <v>16773.9</v>
      </c>
      <c r="AT48" s="8" t="n">
        <f aca="false">AT29*Assumptions!$D$27+Assumptions!$B$40</f>
        <v>16773.9</v>
      </c>
      <c r="AU48" s="8" t="n">
        <f aca="false">AU29*Assumptions!$D$27+Assumptions!$B$40</f>
        <v>16773.9</v>
      </c>
      <c r="AV48" s="8" t="n">
        <f aca="false">AV29*Assumptions!$D$27+Assumptions!$B$40</f>
        <v>16773.9</v>
      </c>
      <c r="AW48" s="8" t="n">
        <f aca="false">AW29*Assumptions!$D$27+Assumptions!$B$40</f>
        <v>16773.9</v>
      </c>
      <c r="AX48" s="8" t="n">
        <f aca="false">AX29*Assumptions!$D$27+Assumptions!$B$40</f>
        <v>16773.9</v>
      </c>
      <c r="AY48" s="8" t="n">
        <f aca="false">AY29*Assumptions!$D$27+Assumptions!$B$40</f>
        <v>16773.9</v>
      </c>
      <c r="AZ48" s="8" t="n">
        <f aca="false">AZ29*Assumptions!$D$27+Assumptions!$B$40</f>
        <v>16773.9</v>
      </c>
      <c r="BA48" s="8" t="n">
        <f aca="false">BA29*Assumptions!$D$27+Assumptions!$B$40</f>
        <v>16773.9</v>
      </c>
      <c r="BB48" s="8" t="n">
        <f aca="false">BB29*Assumptions!$D$27+Assumptions!$B$40</f>
        <v>16773.9</v>
      </c>
      <c r="BC48" s="8" t="n">
        <f aca="false">BC29*Assumptions!$D$27+Assumptions!$B$40</f>
        <v>16773.9</v>
      </c>
      <c r="BD48" s="8" t="n">
        <f aca="false">BD29*Assumptions!$D$27+Assumptions!$B$40</f>
        <v>16773.9</v>
      </c>
      <c r="BE48" s="8" t="n">
        <f aca="false">BE29*Assumptions!$D$27+Assumptions!$B$40</f>
        <v>16773.9</v>
      </c>
      <c r="BF48" s="8" t="n">
        <f aca="false">BF29*Assumptions!$D$27+Assumptions!$B$40</f>
        <v>16773.9</v>
      </c>
      <c r="BG48" s="8" t="n">
        <f aca="false">BG29*Assumptions!$D$27+Assumptions!$B$40</f>
        <v>16773.9</v>
      </c>
      <c r="BH48" s="8" t="n">
        <f aca="false">BH29*Assumptions!$D$27+Assumptions!$B$40</f>
        <v>16773.9</v>
      </c>
      <c r="BI48" s="8" t="n">
        <f aca="false">BI29*Assumptions!$D$27+Assumptions!$B$40</f>
        <v>16773.9</v>
      </c>
      <c r="BJ48" s="8" t="n">
        <f aca="false">BJ29*Assumptions!$D$27+Assumptions!$B$40</f>
        <v>16773.9</v>
      </c>
    </row>
    <row r="49" customFormat="false" ht="15" hidden="false" customHeight="false" outlineLevel="0" collapsed="false">
      <c r="A49" s="5" t="s">
        <v>135</v>
      </c>
      <c r="C49" s="8" t="n">
        <f aca="false">Assumptions!$B$44+IF(C4=1,Assumptions!$B$41,0)+IF(C4=Assumptions!$B$43,Assumptions!$B$42,0)</f>
        <v>20750</v>
      </c>
      <c r="D49" s="8" t="n">
        <f aca="false">Assumptions!$B$44+IF(D4=1,Assumptions!$B$41,0)+IF(D4=Assumptions!$B$43,Assumptions!$B$42,0)</f>
        <v>750</v>
      </c>
      <c r="E49" s="8" t="n">
        <f aca="false">Assumptions!$B$44+IF(E4=1,Assumptions!$B$41,0)+IF(E4=Assumptions!$B$43,Assumptions!$B$42,0)</f>
        <v>750</v>
      </c>
      <c r="F49" s="8" t="n">
        <f aca="false">Assumptions!$B$44+IF(F4=1,Assumptions!$B$41,0)+IF(F4=Assumptions!$B$43,Assumptions!$B$42,0)</f>
        <v>750</v>
      </c>
      <c r="G49" s="8" t="n">
        <f aca="false">Assumptions!$B$44+IF(G4=1,Assumptions!$B$41,0)+IF(G4=Assumptions!$B$43,Assumptions!$B$42,0)</f>
        <v>750</v>
      </c>
      <c r="H49" s="8" t="n">
        <f aca="false">Assumptions!$B$44+IF(H4=1,Assumptions!$B$41,0)+IF(H4=Assumptions!$B$43,Assumptions!$B$42,0)</f>
        <v>750</v>
      </c>
      <c r="I49" s="8" t="n">
        <f aca="false">Assumptions!$B$44+IF(I4=1,Assumptions!$B$41,0)+IF(I4=Assumptions!$B$43,Assumptions!$B$42,0)</f>
        <v>750</v>
      </c>
      <c r="J49" s="8" t="n">
        <f aca="false">Assumptions!$B$44+IF(J4=1,Assumptions!$B$41,0)+IF(J4=Assumptions!$B$43,Assumptions!$B$42,0)</f>
        <v>750</v>
      </c>
      <c r="K49" s="8" t="n">
        <f aca="false">Assumptions!$B$44+IF(K4=1,Assumptions!$B$41,0)+IF(K4=Assumptions!$B$43,Assumptions!$B$42,0)</f>
        <v>750</v>
      </c>
      <c r="L49" s="8" t="n">
        <f aca="false">Assumptions!$B$44+IF(L4=1,Assumptions!$B$41,0)+IF(L4=Assumptions!$B$43,Assumptions!$B$42,0)</f>
        <v>750</v>
      </c>
      <c r="M49" s="8" t="n">
        <f aca="false">Assumptions!$B$44+IF(M4=1,Assumptions!$B$41,0)+IF(M4=Assumptions!$B$43,Assumptions!$B$42,0)</f>
        <v>750</v>
      </c>
      <c r="N49" s="8" t="n">
        <f aca="false">Assumptions!$B$44+IF(N4=1,Assumptions!$B$41,0)+IF(N4=Assumptions!$B$43,Assumptions!$B$42,0)</f>
        <v>750</v>
      </c>
      <c r="O49" s="8" t="n">
        <f aca="false">Assumptions!$B$44+IF(O4=1,Assumptions!$B$41,0)+IF(O4=Assumptions!$B$43,Assumptions!$B$42,0)</f>
        <v>750</v>
      </c>
      <c r="P49" s="8" t="n">
        <f aca="false">Assumptions!$B$44+IF(P4=1,Assumptions!$B$41,0)+IF(P4=Assumptions!$B$43,Assumptions!$B$42,0)</f>
        <v>750</v>
      </c>
      <c r="Q49" s="8" t="n">
        <f aca="false">Assumptions!$B$44+IF(Q4=1,Assumptions!$B$41,0)+IF(Q4=Assumptions!$B$43,Assumptions!$B$42,0)</f>
        <v>750</v>
      </c>
      <c r="R49" s="8" t="n">
        <f aca="false">Assumptions!$B$44+IF(R4=1,Assumptions!$B$41,0)+IF(R4=Assumptions!$B$43,Assumptions!$B$42,0)</f>
        <v>750</v>
      </c>
      <c r="S49" s="8" t="n">
        <f aca="false">Assumptions!$B$44+IF(S4=1,Assumptions!$B$41,0)+IF(S4=Assumptions!$B$43,Assumptions!$B$42,0)</f>
        <v>750</v>
      </c>
      <c r="T49" s="8" t="n">
        <f aca="false">Assumptions!$B$44+IF(T4=1,Assumptions!$B$41,0)+IF(T4=Assumptions!$B$43,Assumptions!$B$42,0)</f>
        <v>750</v>
      </c>
      <c r="U49" s="8" t="n">
        <f aca="false">Assumptions!$B$44+IF(U4=1,Assumptions!$B$41,0)+IF(U4=Assumptions!$B$43,Assumptions!$B$42,0)</f>
        <v>750</v>
      </c>
      <c r="V49" s="8" t="n">
        <f aca="false">Assumptions!$B$44+IF(V4=1,Assumptions!$B$41,0)+IF(V4=Assumptions!$B$43,Assumptions!$B$42,0)</f>
        <v>750</v>
      </c>
      <c r="W49" s="8" t="n">
        <f aca="false">Assumptions!$B$44+IF(W4=1,Assumptions!$B$41,0)+IF(W4=Assumptions!$B$43,Assumptions!$B$42,0)</f>
        <v>750</v>
      </c>
      <c r="X49" s="8" t="n">
        <f aca="false">Assumptions!$B$44+IF(X4=1,Assumptions!$B$41,0)+IF(X4=Assumptions!$B$43,Assumptions!$B$42,0)</f>
        <v>750</v>
      </c>
      <c r="Y49" s="8" t="n">
        <f aca="false">Assumptions!$B$44+IF(Y4=1,Assumptions!$B$41,0)+IF(Y4=Assumptions!$B$43,Assumptions!$B$42,0)</f>
        <v>750</v>
      </c>
      <c r="Z49" s="8" t="n">
        <f aca="false">Assumptions!$B$44+IF(Z4=1,Assumptions!$B$41,0)+IF(Z4=Assumptions!$B$43,Assumptions!$B$42,0)</f>
        <v>750</v>
      </c>
      <c r="AA49" s="8" t="n">
        <f aca="false">Assumptions!$B$44+IF(AA4=1,Assumptions!$B$41,0)+IF(AA4=Assumptions!$B$43,Assumptions!$B$42,0)</f>
        <v>30750</v>
      </c>
      <c r="AB49" s="8" t="n">
        <f aca="false">Assumptions!$B$44+IF(AB4=1,Assumptions!$B$41,0)+IF(AB4=Assumptions!$B$43,Assumptions!$B$42,0)</f>
        <v>750</v>
      </c>
      <c r="AC49" s="8" t="n">
        <f aca="false">Assumptions!$B$44+IF(AC4=1,Assumptions!$B$41,0)+IF(AC4=Assumptions!$B$43,Assumptions!$B$42,0)</f>
        <v>750</v>
      </c>
      <c r="AD49" s="8" t="n">
        <f aca="false">Assumptions!$B$44+IF(AD4=1,Assumptions!$B$41,0)+IF(AD4=Assumptions!$B$43,Assumptions!$B$42,0)</f>
        <v>750</v>
      </c>
      <c r="AE49" s="8" t="n">
        <f aca="false">Assumptions!$B$44+IF(AE4=1,Assumptions!$B$41,0)+IF(AE4=Assumptions!$B$43,Assumptions!$B$42,0)</f>
        <v>750</v>
      </c>
      <c r="AF49" s="8" t="n">
        <f aca="false">Assumptions!$B$44+IF(AF4=1,Assumptions!$B$41,0)+IF(AF4=Assumptions!$B$43,Assumptions!$B$42,0)</f>
        <v>750</v>
      </c>
      <c r="AG49" s="8" t="n">
        <f aca="false">Assumptions!$B$44+IF(AG4=1,Assumptions!$B$41,0)+IF(AG4=Assumptions!$B$43,Assumptions!$B$42,0)</f>
        <v>750</v>
      </c>
      <c r="AH49" s="8" t="n">
        <f aca="false">Assumptions!$B$44+IF(AH4=1,Assumptions!$B$41,0)+IF(AH4=Assumptions!$B$43,Assumptions!$B$42,0)</f>
        <v>750</v>
      </c>
      <c r="AI49" s="8" t="n">
        <f aca="false">Assumptions!$B$44+IF(AI4=1,Assumptions!$B$41,0)+IF(AI4=Assumptions!$B$43,Assumptions!$B$42,0)</f>
        <v>750</v>
      </c>
      <c r="AJ49" s="8" t="n">
        <f aca="false">Assumptions!$B$44+IF(AJ4=1,Assumptions!$B$41,0)+IF(AJ4=Assumptions!$B$43,Assumptions!$B$42,0)</f>
        <v>750</v>
      </c>
      <c r="AK49" s="8" t="n">
        <f aca="false">Assumptions!$B$44+IF(AK4=1,Assumptions!$B$41,0)+IF(AK4=Assumptions!$B$43,Assumptions!$B$42,0)</f>
        <v>750</v>
      </c>
      <c r="AL49" s="8" t="n">
        <f aca="false">Assumptions!$B$44+IF(AL4=1,Assumptions!$B$41,0)+IF(AL4=Assumptions!$B$43,Assumptions!$B$42,0)</f>
        <v>750</v>
      </c>
      <c r="AM49" s="8" t="n">
        <f aca="false">Assumptions!$B$44+IF(AM4=1,Assumptions!$B$41,0)+IF(AM4=Assumptions!$B$43,Assumptions!$B$42,0)</f>
        <v>750</v>
      </c>
      <c r="AN49" s="8" t="n">
        <f aca="false">Assumptions!$B$44+IF(AN4=1,Assumptions!$B$41,0)+IF(AN4=Assumptions!$B$43,Assumptions!$B$42,0)</f>
        <v>750</v>
      </c>
      <c r="AO49" s="8" t="n">
        <f aca="false">Assumptions!$B$44+IF(AO4=1,Assumptions!$B$41,0)+IF(AO4=Assumptions!$B$43,Assumptions!$B$42,0)</f>
        <v>750</v>
      </c>
      <c r="AP49" s="8" t="n">
        <f aca="false">Assumptions!$B$44+IF(AP4=1,Assumptions!$B$41,0)+IF(AP4=Assumptions!$B$43,Assumptions!$B$42,0)</f>
        <v>750</v>
      </c>
      <c r="AQ49" s="8" t="n">
        <f aca="false">Assumptions!$B$44+IF(AQ4=1,Assumptions!$B$41,0)+IF(AQ4=Assumptions!$B$43,Assumptions!$B$42,0)</f>
        <v>750</v>
      </c>
      <c r="AR49" s="8" t="n">
        <f aca="false">Assumptions!$B$44+IF(AR4=1,Assumptions!$B$41,0)+IF(AR4=Assumptions!$B$43,Assumptions!$B$42,0)</f>
        <v>750</v>
      </c>
      <c r="AS49" s="8" t="n">
        <f aca="false">Assumptions!$B$44+IF(AS4=1,Assumptions!$B$41,0)+IF(AS4=Assumptions!$B$43,Assumptions!$B$42,0)</f>
        <v>750</v>
      </c>
      <c r="AT49" s="8" t="n">
        <f aca="false">Assumptions!$B$44+IF(AT4=1,Assumptions!$B$41,0)+IF(AT4=Assumptions!$B$43,Assumptions!$B$42,0)</f>
        <v>750</v>
      </c>
      <c r="AU49" s="8" t="n">
        <f aca="false">Assumptions!$B$44+IF(AU4=1,Assumptions!$B$41,0)+IF(AU4=Assumptions!$B$43,Assumptions!$B$42,0)</f>
        <v>750</v>
      </c>
      <c r="AV49" s="8" t="n">
        <f aca="false">Assumptions!$B$44+IF(AV4=1,Assumptions!$B$41,0)+IF(AV4=Assumptions!$B$43,Assumptions!$B$42,0)</f>
        <v>750</v>
      </c>
      <c r="AW49" s="8" t="n">
        <f aca="false">Assumptions!$B$44+IF(AW4=1,Assumptions!$B$41,0)+IF(AW4=Assumptions!$B$43,Assumptions!$B$42,0)</f>
        <v>750</v>
      </c>
      <c r="AX49" s="8" t="n">
        <f aca="false">Assumptions!$B$44+IF(AX4=1,Assumptions!$B$41,0)+IF(AX4=Assumptions!$B$43,Assumptions!$B$42,0)</f>
        <v>750</v>
      </c>
      <c r="AY49" s="8" t="n">
        <f aca="false">Assumptions!$B$44+IF(AY4=1,Assumptions!$B$41,0)+IF(AY4=Assumptions!$B$43,Assumptions!$B$42,0)</f>
        <v>750</v>
      </c>
      <c r="AZ49" s="8" t="n">
        <f aca="false">Assumptions!$B$44+IF(AZ4=1,Assumptions!$B$41,0)+IF(AZ4=Assumptions!$B$43,Assumptions!$B$42,0)</f>
        <v>750</v>
      </c>
      <c r="BA49" s="8" t="n">
        <f aca="false">Assumptions!$B$44+IF(BA4=1,Assumptions!$B$41,0)+IF(BA4=Assumptions!$B$43,Assumptions!$B$42,0)</f>
        <v>750</v>
      </c>
      <c r="BB49" s="8" t="n">
        <f aca="false">Assumptions!$B$44+IF(BB4=1,Assumptions!$B$41,0)+IF(BB4=Assumptions!$B$43,Assumptions!$B$42,0)</f>
        <v>750</v>
      </c>
      <c r="BC49" s="8" t="n">
        <f aca="false">Assumptions!$B$44+IF(BC4=1,Assumptions!$B$41,0)+IF(BC4=Assumptions!$B$43,Assumptions!$B$42,0)</f>
        <v>750</v>
      </c>
      <c r="BD49" s="8" t="n">
        <f aca="false">Assumptions!$B$44+IF(BD4=1,Assumptions!$B$41,0)+IF(BD4=Assumptions!$B$43,Assumptions!$B$42,0)</f>
        <v>750</v>
      </c>
      <c r="BE49" s="8" t="n">
        <f aca="false">Assumptions!$B$44+IF(BE4=1,Assumptions!$B$41,0)+IF(BE4=Assumptions!$B$43,Assumptions!$B$42,0)</f>
        <v>750</v>
      </c>
      <c r="BF49" s="8" t="n">
        <f aca="false">Assumptions!$B$44+IF(BF4=1,Assumptions!$B$41,0)+IF(BF4=Assumptions!$B$43,Assumptions!$B$42,0)</f>
        <v>750</v>
      </c>
      <c r="BG49" s="8" t="n">
        <f aca="false">Assumptions!$B$44+IF(BG4=1,Assumptions!$B$41,0)+IF(BG4=Assumptions!$B$43,Assumptions!$B$42,0)</f>
        <v>750</v>
      </c>
      <c r="BH49" s="8" t="n">
        <f aca="false">Assumptions!$B$44+IF(BH4=1,Assumptions!$B$41,0)+IF(BH4=Assumptions!$B$43,Assumptions!$B$42,0)</f>
        <v>750</v>
      </c>
      <c r="BI49" s="8" t="n">
        <f aca="false">Assumptions!$B$44+IF(BI4=1,Assumptions!$B$41,0)+IF(BI4=Assumptions!$B$43,Assumptions!$B$42,0)</f>
        <v>750</v>
      </c>
      <c r="BJ49" s="8" t="n">
        <f aca="false">Assumptions!$B$44+IF(BJ4=1,Assumptions!$B$41,0)+IF(BJ4=Assumptions!$B$43,Assumptions!$B$42,0)</f>
        <v>750</v>
      </c>
    </row>
    <row r="50" customFormat="false" ht="15" hidden="false" customHeight="false" outlineLevel="0" collapsed="false">
      <c r="A50" s="5" t="s">
        <v>136</v>
      </c>
      <c r="C50" s="7" t="n">
        <f aca="false">Assumptions!$B$45</f>
        <v>450</v>
      </c>
      <c r="D50" s="7" t="n">
        <f aca="false">Assumptions!$B$45</f>
        <v>450</v>
      </c>
      <c r="E50" s="7" t="n">
        <f aca="false">Assumptions!$B$45</f>
        <v>450</v>
      </c>
      <c r="F50" s="7" t="n">
        <f aca="false">Assumptions!$B$45</f>
        <v>450</v>
      </c>
      <c r="G50" s="7" t="n">
        <f aca="false">Assumptions!$B$45</f>
        <v>450</v>
      </c>
      <c r="H50" s="7" t="n">
        <f aca="false">Assumptions!$B$45</f>
        <v>450</v>
      </c>
      <c r="I50" s="7" t="n">
        <f aca="false">Assumptions!$B$45</f>
        <v>450</v>
      </c>
      <c r="J50" s="7" t="n">
        <f aca="false">Assumptions!$B$45</f>
        <v>450</v>
      </c>
      <c r="K50" s="7" t="n">
        <f aca="false">Assumptions!$B$45</f>
        <v>450</v>
      </c>
      <c r="L50" s="7" t="n">
        <f aca="false">Assumptions!$B$45</f>
        <v>450</v>
      </c>
      <c r="M50" s="7" t="n">
        <f aca="false">Assumptions!$B$45</f>
        <v>450</v>
      </c>
      <c r="N50" s="7" t="n">
        <f aca="false">Assumptions!$B$45</f>
        <v>450</v>
      </c>
      <c r="O50" s="7" t="n">
        <f aca="false">Assumptions!$B$45</f>
        <v>450</v>
      </c>
      <c r="P50" s="7" t="n">
        <f aca="false">Assumptions!$B$45</f>
        <v>450</v>
      </c>
      <c r="Q50" s="7" t="n">
        <f aca="false">Assumptions!$B$45</f>
        <v>450</v>
      </c>
      <c r="R50" s="7" t="n">
        <f aca="false">Assumptions!$B$45</f>
        <v>450</v>
      </c>
      <c r="S50" s="7" t="n">
        <f aca="false">Assumptions!$B$45</f>
        <v>450</v>
      </c>
      <c r="T50" s="7" t="n">
        <f aca="false">Assumptions!$B$45</f>
        <v>450</v>
      </c>
      <c r="U50" s="7" t="n">
        <f aca="false">Assumptions!$B$45</f>
        <v>450</v>
      </c>
      <c r="V50" s="7" t="n">
        <f aca="false">Assumptions!$B$45</f>
        <v>450</v>
      </c>
      <c r="W50" s="7" t="n">
        <f aca="false">Assumptions!$B$45</f>
        <v>450</v>
      </c>
      <c r="X50" s="7" t="n">
        <f aca="false">Assumptions!$B$45</f>
        <v>450</v>
      </c>
      <c r="Y50" s="7" t="n">
        <f aca="false">Assumptions!$B$45</f>
        <v>450</v>
      </c>
      <c r="Z50" s="7" t="n">
        <f aca="false">Assumptions!$B$45</f>
        <v>450</v>
      </c>
      <c r="AA50" s="7" t="n">
        <f aca="false">Assumptions!$B$45</f>
        <v>450</v>
      </c>
      <c r="AB50" s="7" t="n">
        <f aca="false">Assumptions!$B$45</f>
        <v>450</v>
      </c>
      <c r="AC50" s="7" t="n">
        <f aca="false">Assumptions!$B$45</f>
        <v>450</v>
      </c>
      <c r="AD50" s="7" t="n">
        <f aca="false">Assumptions!$B$45</f>
        <v>450</v>
      </c>
      <c r="AE50" s="7" t="n">
        <f aca="false">Assumptions!$B$45</f>
        <v>450</v>
      </c>
      <c r="AF50" s="7" t="n">
        <f aca="false">Assumptions!$B$45</f>
        <v>450</v>
      </c>
      <c r="AG50" s="7" t="n">
        <f aca="false">Assumptions!$B$45</f>
        <v>450</v>
      </c>
      <c r="AH50" s="7" t="n">
        <f aca="false">Assumptions!$B$45</f>
        <v>450</v>
      </c>
      <c r="AI50" s="7" t="n">
        <f aca="false">Assumptions!$B$45</f>
        <v>450</v>
      </c>
      <c r="AJ50" s="7" t="n">
        <f aca="false">Assumptions!$B$45</f>
        <v>450</v>
      </c>
      <c r="AK50" s="7" t="n">
        <f aca="false">Assumptions!$B$45</f>
        <v>450</v>
      </c>
      <c r="AL50" s="7" t="n">
        <f aca="false">Assumptions!$B$45</f>
        <v>450</v>
      </c>
      <c r="AM50" s="7" t="n">
        <f aca="false">Assumptions!$B$45</f>
        <v>450</v>
      </c>
      <c r="AN50" s="7" t="n">
        <f aca="false">Assumptions!$B$45</f>
        <v>450</v>
      </c>
      <c r="AO50" s="7" t="n">
        <f aca="false">Assumptions!$B$45</f>
        <v>450</v>
      </c>
      <c r="AP50" s="7" t="n">
        <f aca="false">Assumptions!$B$45</f>
        <v>450</v>
      </c>
      <c r="AQ50" s="7" t="n">
        <f aca="false">Assumptions!$B$45</f>
        <v>450</v>
      </c>
      <c r="AR50" s="7" t="n">
        <f aca="false">Assumptions!$B$45</f>
        <v>450</v>
      </c>
      <c r="AS50" s="7" t="n">
        <f aca="false">Assumptions!$B$45</f>
        <v>450</v>
      </c>
      <c r="AT50" s="7" t="n">
        <f aca="false">Assumptions!$B$45</f>
        <v>450</v>
      </c>
      <c r="AU50" s="7" t="n">
        <f aca="false">Assumptions!$B$45</f>
        <v>450</v>
      </c>
      <c r="AV50" s="7" t="n">
        <f aca="false">Assumptions!$B$45</f>
        <v>450</v>
      </c>
      <c r="AW50" s="7" t="n">
        <f aca="false">Assumptions!$B$45</f>
        <v>450</v>
      </c>
      <c r="AX50" s="7" t="n">
        <f aca="false">Assumptions!$B$45</f>
        <v>450</v>
      </c>
      <c r="AY50" s="7" t="n">
        <f aca="false">Assumptions!$B$45</f>
        <v>450</v>
      </c>
      <c r="AZ50" s="7" t="n">
        <f aca="false">Assumptions!$B$45</f>
        <v>450</v>
      </c>
      <c r="BA50" s="7" t="n">
        <f aca="false">Assumptions!$B$45</f>
        <v>450</v>
      </c>
      <c r="BB50" s="7" t="n">
        <f aca="false">Assumptions!$B$45</f>
        <v>450</v>
      </c>
      <c r="BC50" s="7" t="n">
        <f aca="false">Assumptions!$B$45</f>
        <v>450</v>
      </c>
      <c r="BD50" s="7" t="n">
        <f aca="false">Assumptions!$B$45</f>
        <v>450</v>
      </c>
      <c r="BE50" s="7" t="n">
        <f aca="false">Assumptions!$B$45</f>
        <v>450</v>
      </c>
      <c r="BF50" s="7" t="n">
        <f aca="false">Assumptions!$B$45</f>
        <v>450</v>
      </c>
      <c r="BG50" s="7" t="n">
        <f aca="false">Assumptions!$B$45</f>
        <v>450</v>
      </c>
      <c r="BH50" s="7" t="n">
        <f aca="false">Assumptions!$B$45</f>
        <v>450</v>
      </c>
      <c r="BI50" s="7" t="n">
        <f aca="false">Assumptions!$B$45</f>
        <v>450</v>
      </c>
      <c r="BJ50" s="7" t="n">
        <f aca="false">Assumptions!$B$45</f>
        <v>450</v>
      </c>
    </row>
    <row r="51" customFormat="false" ht="15" hidden="false" customHeight="false" outlineLevel="0" collapsed="false">
      <c r="A51" s="5" t="s">
        <v>137</v>
      </c>
      <c r="C51" s="7" t="n">
        <f aca="false">Assumptions!$B$46</f>
        <v>600</v>
      </c>
      <c r="D51" s="7" t="n">
        <f aca="false">Assumptions!$B$46</f>
        <v>600</v>
      </c>
      <c r="E51" s="7" t="n">
        <f aca="false">Assumptions!$B$46</f>
        <v>600</v>
      </c>
      <c r="F51" s="7" t="n">
        <f aca="false">Assumptions!$B$46</f>
        <v>600</v>
      </c>
      <c r="G51" s="7" t="n">
        <f aca="false">Assumptions!$B$46</f>
        <v>600</v>
      </c>
      <c r="H51" s="7" t="n">
        <f aca="false">Assumptions!$B$46</f>
        <v>600</v>
      </c>
      <c r="I51" s="7" t="n">
        <f aca="false">Assumptions!$B$46</f>
        <v>600</v>
      </c>
      <c r="J51" s="7" t="n">
        <f aca="false">Assumptions!$B$46</f>
        <v>600</v>
      </c>
      <c r="K51" s="7" t="n">
        <f aca="false">Assumptions!$B$46</f>
        <v>600</v>
      </c>
      <c r="L51" s="7" t="n">
        <f aca="false">Assumptions!$B$46</f>
        <v>600</v>
      </c>
      <c r="M51" s="7" t="n">
        <f aca="false">Assumptions!$B$46</f>
        <v>600</v>
      </c>
      <c r="N51" s="7" t="n">
        <f aca="false">Assumptions!$B$46</f>
        <v>600</v>
      </c>
      <c r="O51" s="7" t="n">
        <f aca="false">Assumptions!$B$46</f>
        <v>600</v>
      </c>
      <c r="P51" s="7" t="n">
        <f aca="false">Assumptions!$B$46</f>
        <v>600</v>
      </c>
      <c r="Q51" s="7" t="n">
        <f aca="false">Assumptions!$B$46</f>
        <v>600</v>
      </c>
      <c r="R51" s="7" t="n">
        <f aca="false">Assumptions!$B$46</f>
        <v>600</v>
      </c>
      <c r="S51" s="7" t="n">
        <f aca="false">Assumptions!$B$46</f>
        <v>600</v>
      </c>
      <c r="T51" s="7" t="n">
        <f aca="false">Assumptions!$B$46</f>
        <v>600</v>
      </c>
      <c r="U51" s="7" t="n">
        <f aca="false">Assumptions!$B$46</f>
        <v>600</v>
      </c>
      <c r="V51" s="7" t="n">
        <f aca="false">Assumptions!$B$46</f>
        <v>600</v>
      </c>
      <c r="W51" s="7" t="n">
        <f aca="false">Assumptions!$B$46</f>
        <v>600</v>
      </c>
      <c r="X51" s="7" t="n">
        <f aca="false">Assumptions!$B$46</f>
        <v>600</v>
      </c>
      <c r="Y51" s="7" t="n">
        <f aca="false">Assumptions!$B$46</f>
        <v>600</v>
      </c>
      <c r="Z51" s="7" t="n">
        <f aca="false">Assumptions!$B$46</f>
        <v>600</v>
      </c>
      <c r="AA51" s="7" t="n">
        <f aca="false">Assumptions!$B$46</f>
        <v>600</v>
      </c>
      <c r="AB51" s="7" t="n">
        <f aca="false">Assumptions!$B$46</f>
        <v>600</v>
      </c>
      <c r="AC51" s="7" t="n">
        <f aca="false">Assumptions!$B$46</f>
        <v>600</v>
      </c>
      <c r="AD51" s="7" t="n">
        <f aca="false">Assumptions!$B$46</f>
        <v>600</v>
      </c>
      <c r="AE51" s="7" t="n">
        <f aca="false">Assumptions!$B$46</f>
        <v>600</v>
      </c>
      <c r="AF51" s="7" t="n">
        <f aca="false">Assumptions!$B$46</f>
        <v>600</v>
      </c>
      <c r="AG51" s="7" t="n">
        <f aca="false">Assumptions!$B$46</f>
        <v>600</v>
      </c>
      <c r="AH51" s="7" t="n">
        <f aca="false">Assumptions!$B$46</f>
        <v>600</v>
      </c>
      <c r="AI51" s="7" t="n">
        <f aca="false">Assumptions!$B$46</f>
        <v>600</v>
      </c>
      <c r="AJ51" s="7" t="n">
        <f aca="false">Assumptions!$B$46</f>
        <v>600</v>
      </c>
      <c r="AK51" s="7" t="n">
        <f aca="false">Assumptions!$B$46</f>
        <v>600</v>
      </c>
      <c r="AL51" s="7" t="n">
        <f aca="false">Assumptions!$B$46</f>
        <v>600</v>
      </c>
      <c r="AM51" s="7" t="n">
        <f aca="false">Assumptions!$B$46</f>
        <v>600</v>
      </c>
      <c r="AN51" s="7" t="n">
        <f aca="false">Assumptions!$B$46</f>
        <v>600</v>
      </c>
      <c r="AO51" s="7" t="n">
        <f aca="false">Assumptions!$B$46</f>
        <v>600</v>
      </c>
      <c r="AP51" s="7" t="n">
        <f aca="false">Assumptions!$B$46</f>
        <v>600</v>
      </c>
      <c r="AQ51" s="7" t="n">
        <f aca="false">Assumptions!$B$46</f>
        <v>600</v>
      </c>
      <c r="AR51" s="7" t="n">
        <f aca="false">Assumptions!$B$46</f>
        <v>600</v>
      </c>
      <c r="AS51" s="7" t="n">
        <f aca="false">Assumptions!$B$46</f>
        <v>600</v>
      </c>
      <c r="AT51" s="7" t="n">
        <f aca="false">Assumptions!$B$46</f>
        <v>600</v>
      </c>
      <c r="AU51" s="7" t="n">
        <f aca="false">Assumptions!$B$46</f>
        <v>600</v>
      </c>
      <c r="AV51" s="7" t="n">
        <f aca="false">Assumptions!$B$46</f>
        <v>600</v>
      </c>
      <c r="AW51" s="7" t="n">
        <f aca="false">Assumptions!$B$46</f>
        <v>600</v>
      </c>
      <c r="AX51" s="7" t="n">
        <f aca="false">Assumptions!$B$46</f>
        <v>600</v>
      </c>
      <c r="AY51" s="7" t="n">
        <f aca="false">Assumptions!$B$46</f>
        <v>600</v>
      </c>
      <c r="AZ51" s="7" t="n">
        <f aca="false">Assumptions!$B$46</f>
        <v>600</v>
      </c>
      <c r="BA51" s="7" t="n">
        <f aca="false">Assumptions!$B$46</f>
        <v>600</v>
      </c>
      <c r="BB51" s="7" t="n">
        <f aca="false">Assumptions!$B$46</f>
        <v>600</v>
      </c>
      <c r="BC51" s="7" t="n">
        <f aca="false">Assumptions!$B$46</f>
        <v>600</v>
      </c>
      <c r="BD51" s="7" t="n">
        <f aca="false">Assumptions!$B$46</f>
        <v>600</v>
      </c>
      <c r="BE51" s="7" t="n">
        <f aca="false">Assumptions!$B$46</f>
        <v>600</v>
      </c>
      <c r="BF51" s="7" t="n">
        <f aca="false">Assumptions!$B$46</f>
        <v>600</v>
      </c>
      <c r="BG51" s="7" t="n">
        <f aca="false">Assumptions!$B$46</f>
        <v>600</v>
      </c>
      <c r="BH51" s="7" t="n">
        <f aca="false">Assumptions!$B$46</f>
        <v>600</v>
      </c>
      <c r="BI51" s="7" t="n">
        <f aca="false">Assumptions!$B$46</f>
        <v>600</v>
      </c>
      <c r="BJ51" s="7" t="n">
        <f aca="false">Assumptions!$B$46</f>
        <v>600</v>
      </c>
    </row>
    <row r="52" customFormat="false" ht="15" hidden="false" customHeight="false" outlineLevel="0" collapsed="false">
      <c r="A52" s="10" t="s">
        <v>138</v>
      </c>
      <c r="C52" s="11" t="n">
        <f aca="false">SUM(C46:C51)</f>
        <v>27083.7172916667</v>
      </c>
      <c r="D52" s="11" t="n">
        <f aca="false">SUM(D46:D51)</f>
        <v>7950.76791666667</v>
      </c>
      <c r="E52" s="11" t="n">
        <f aca="false">SUM(E46:E51)</f>
        <v>8817.81854166667</v>
      </c>
      <c r="F52" s="11" t="n">
        <f aca="false">SUM(F46:F51)</f>
        <v>9684.86916666667</v>
      </c>
      <c r="G52" s="11" t="n">
        <f aca="false">SUM(G46:G51)</f>
        <v>10551.9197916667</v>
      </c>
      <c r="H52" s="11" t="n">
        <f aca="false">SUM(H46:H51)</f>
        <v>11418.9704166667</v>
      </c>
      <c r="I52" s="11" t="n">
        <f aca="false">SUM(I46:I51)</f>
        <v>12580.7710416667</v>
      </c>
      <c r="J52" s="11" t="n">
        <f aca="false">SUM(J46:J51)</f>
        <v>13742.5716666667</v>
      </c>
      <c r="K52" s="11" t="n">
        <f aca="false">SUM(K46:K51)</f>
        <v>14904.3722916667</v>
      </c>
      <c r="L52" s="11" t="n">
        <f aca="false">SUM(L46:L51)</f>
        <v>16066.1729166667</v>
      </c>
      <c r="M52" s="11" t="n">
        <f aca="false">SUM(M46:M51)</f>
        <v>17227.9735416667</v>
      </c>
      <c r="N52" s="11" t="n">
        <f aca="false">SUM(N46:N51)</f>
        <v>18389.7741666667</v>
      </c>
      <c r="O52" s="11" t="n">
        <f aca="false">SUM(O46:O51)</f>
        <v>21601.1908333333</v>
      </c>
      <c r="P52" s="11" t="n">
        <f aca="false">SUM(P46:P51)</f>
        <v>21895.9408333333</v>
      </c>
      <c r="Q52" s="11" t="n">
        <f aca="false">SUM(Q46:Q51)</f>
        <v>22190.6908333333</v>
      </c>
      <c r="R52" s="11" t="n">
        <f aca="false">SUM(R46:R51)</f>
        <v>22485.4408333333</v>
      </c>
      <c r="S52" s="11" t="n">
        <f aca="false">SUM(S46:S51)</f>
        <v>22780.1908333333</v>
      </c>
      <c r="T52" s="11" t="n">
        <f aca="false">SUM(T46:T51)</f>
        <v>23074.9408333333</v>
      </c>
      <c r="U52" s="11" t="n">
        <f aca="false">SUM(U46:U51)</f>
        <v>23185.9652083333</v>
      </c>
      <c r="V52" s="11" t="n">
        <f aca="false">SUM(V46:V51)</f>
        <v>23296.9895833333</v>
      </c>
      <c r="W52" s="11" t="n">
        <f aca="false">SUM(W46:W51)</f>
        <v>23408.0139583333</v>
      </c>
      <c r="X52" s="11" t="n">
        <f aca="false">SUM(X46:X51)</f>
        <v>23519.0383333333</v>
      </c>
      <c r="Y52" s="11" t="n">
        <f aca="false">SUM(Y46:Y51)</f>
        <v>23630.0627083333</v>
      </c>
      <c r="Z52" s="11" t="n">
        <f aca="false">SUM(Z46:Z51)</f>
        <v>23741.0870833333</v>
      </c>
      <c r="AA52" s="11" t="n">
        <f aca="false">SUM(AA46:AA51)</f>
        <v>64685.4447916667</v>
      </c>
      <c r="AB52" s="11" t="n">
        <f aca="false">SUM(AB46:AB51)</f>
        <v>34796.4691666667</v>
      </c>
      <c r="AC52" s="11" t="n">
        <f aca="false">SUM(AC46:AC51)</f>
        <v>34907.4935416667</v>
      </c>
      <c r="AD52" s="11" t="n">
        <f aca="false">SUM(AD46:AD51)</f>
        <v>35018.5179166667</v>
      </c>
      <c r="AE52" s="11" t="n">
        <f aca="false">SUM(AE46:AE51)</f>
        <v>35129.5422916667</v>
      </c>
      <c r="AF52" s="11" t="n">
        <f aca="false">SUM(AF46:AF51)</f>
        <v>35240.5666666667</v>
      </c>
      <c r="AG52" s="11" t="n">
        <f aca="false">SUM(AG46:AG51)</f>
        <v>35240.5666666667</v>
      </c>
      <c r="AH52" s="11" t="n">
        <f aca="false">SUM(AH46:AH51)</f>
        <v>35240.5666666667</v>
      </c>
      <c r="AI52" s="11" t="n">
        <f aca="false">SUM(AI46:AI51)</f>
        <v>35240.5666666667</v>
      </c>
      <c r="AJ52" s="11" t="n">
        <f aca="false">SUM(AJ46:AJ51)</f>
        <v>35240.5666666667</v>
      </c>
      <c r="AK52" s="11" t="n">
        <f aca="false">SUM(AK46:AK51)</f>
        <v>35240.5666666667</v>
      </c>
      <c r="AL52" s="11" t="n">
        <f aca="false">SUM(AL46:AL51)</f>
        <v>35240.5666666667</v>
      </c>
      <c r="AM52" s="11" t="n">
        <f aca="false">SUM(AM46:AM51)</f>
        <v>43573.9</v>
      </c>
      <c r="AN52" s="11" t="n">
        <f aca="false">SUM(AN46:AN51)</f>
        <v>43573.9</v>
      </c>
      <c r="AO52" s="11" t="n">
        <f aca="false">SUM(AO46:AO51)</f>
        <v>43573.9</v>
      </c>
      <c r="AP52" s="11" t="n">
        <f aca="false">SUM(AP46:AP51)</f>
        <v>43573.9</v>
      </c>
      <c r="AQ52" s="11" t="n">
        <f aca="false">SUM(AQ46:AQ51)</f>
        <v>43573.9</v>
      </c>
      <c r="AR52" s="11" t="n">
        <f aca="false">SUM(AR46:AR51)</f>
        <v>43573.9</v>
      </c>
      <c r="AS52" s="11" t="n">
        <f aca="false">SUM(AS46:AS51)</f>
        <v>43573.9</v>
      </c>
      <c r="AT52" s="11" t="n">
        <f aca="false">SUM(AT46:AT51)</f>
        <v>43573.9</v>
      </c>
      <c r="AU52" s="11" t="n">
        <f aca="false">SUM(AU46:AU51)</f>
        <v>43573.9</v>
      </c>
      <c r="AV52" s="11" t="n">
        <f aca="false">SUM(AV46:AV51)</f>
        <v>43573.9</v>
      </c>
      <c r="AW52" s="11" t="n">
        <f aca="false">SUM(AW46:AW51)</f>
        <v>43573.9</v>
      </c>
      <c r="AX52" s="11" t="n">
        <f aca="false">SUM(AX46:AX51)</f>
        <v>43573.9</v>
      </c>
      <c r="AY52" s="11" t="n">
        <f aca="false">SUM(AY46:AY51)</f>
        <v>51907.2333333333</v>
      </c>
      <c r="AZ52" s="11" t="n">
        <f aca="false">SUM(AZ46:AZ51)</f>
        <v>51907.2333333333</v>
      </c>
      <c r="BA52" s="11" t="n">
        <f aca="false">SUM(BA46:BA51)</f>
        <v>51907.2333333333</v>
      </c>
      <c r="BB52" s="11" t="n">
        <f aca="false">SUM(BB46:BB51)</f>
        <v>51907.2333333333</v>
      </c>
      <c r="BC52" s="11" t="n">
        <f aca="false">SUM(BC46:BC51)</f>
        <v>51907.2333333333</v>
      </c>
      <c r="BD52" s="11" t="n">
        <f aca="false">SUM(BD46:BD51)</f>
        <v>51907.2333333333</v>
      </c>
      <c r="BE52" s="11" t="n">
        <f aca="false">SUM(BE46:BE51)</f>
        <v>51907.2333333333</v>
      </c>
      <c r="BF52" s="11" t="n">
        <f aca="false">SUM(BF46:BF51)</f>
        <v>51907.2333333333</v>
      </c>
      <c r="BG52" s="11" t="n">
        <f aca="false">SUM(BG46:BG51)</f>
        <v>51907.2333333333</v>
      </c>
      <c r="BH52" s="11" t="n">
        <f aca="false">SUM(BH46:BH51)</f>
        <v>51907.2333333333</v>
      </c>
      <c r="BI52" s="11" t="n">
        <f aca="false">SUM(BI46:BI51)</f>
        <v>51907.2333333333</v>
      </c>
      <c r="BJ52" s="11" t="n">
        <f aca="false">SUM(BJ46:BJ51)</f>
        <v>51907.2333333333</v>
      </c>
    </row>
    <row r="54" customFormat="false" ht="15" hidden="false" customHeight="false" outlineLevel="0" collapsed="false">
      <c r="A54" s="10" t="s">
        <v>139</v>
      </c>
      <c r="C54" s="11" t="n">
        <f aca="false">C42-C52</f>
        <v>-27261.6818265781</v>
      </c>
      <c r="D54" s="11" t="n">
        <f aca="false">D42-D52</f>
        <v>-7986.46240802805</v>
      </c>
      <c r="E54" s="11" t="n">
        <f aca="false">E42-E52</f>
        <v>-8642.76427547818</v>
      </c>
      <c r="F54" s="11" t="n">
        <f aca="false">F42-F52</f>
        <v>-9232.29939677845</v>
      </c>
      <c r="G54" s="11" t="n">
        <f aca="false">G42-G52</f>
        <v>-9756.7369405826</v>
      </c>
      <c r="H54" s="11" t="n">
        <f aca="false">H42-H52</f>
        <v>-10217.704346328</v>
      </c>
      <c r="I54" s="11" t="n">
        <f aca="false">I42-I52</f>
        <v>-10883.2894031496</v>
      </c>
      <c r="J54" s="11" t="n">
        <f aca="false">J42-J52</f>
        <v>-11460.9954197703</v>
      </c>
      <c r="K54" s="11" t="n">
        <f aca="false">K42-K52</f>
        <v>-11953.0193721952</v>
      </c>
      <c r="L54" s="11" t="n">
        <f aca="false">L42-L52</f>
        <v>-12361.5033120292</v>
      </c>
      <c r="M54" s="11" t="n">
        <f aca="false">M42-M52</f>
        <v>-12688.5357395871</v>
      </c>
      <c r="N54" s="11" t="n">
        <f aca="false">N42-N52</f>
        <v>-12936.1529426757</v>
      </c>
      <c r="O54" s="11" t="n">
        <f aca="false">O42-O52</f>
        <v>-14964.2559604328</v>
      </c>
      <c r="P54" s="11" t="n">
        <f aca="false">P42-P52</f>
        <v>-14297.4771155445</v>
      </c>
      <c r="Q54" s="11" t="n">
        <f aca="false">Q42-Q52</f>
        <v>-13625.3958909072</v>
      </c>
      <c r="R54" s="11" t="n">
        <f aca="false">R42-R52</f>
        <v>-12948.1448460147</v>
      </c>
      <c r="S54" s="11" t="n">
        <f aca="false">S42-S52</f>
        <v>-12265.8532263734</v>
      </c>
      <c r="T54" s="11" t="n">
        <f aca="false">T42-T52</f>
        <v>-11578.6470463519</v>
      </c>
      <c r="U54" s="11" t="n">
        <f aca="false">U42-U52</f>
        <v>-10717.6080640021</v>
      </c>
      <c r="V54" s="11" t="n">
        <f aca="false">V42-V52</f>
        <v>-9866.21458375713</v>
      </c>
      <c r="W54" s="11" t="n">
        <f aca="false">W42-W52</f>
        <v>-9024.22546806444</v>
      </c>
      <c r="X54" s="11" t="n">
        <f aca="false">X42-X52</f>
        <v>-8191.40560781019</v>
      </c>
      <c r="Y54" s="11" t="n">
        <f aca="false">Y42-Y52</f>
        <v>-7367.52577160843</v>
      </c>
      <c r="Z54" s="11" t="n">
        <f aca="false">Z42-Z52</f>
        <v>-6552.36245885784</v>
      </c>
      <c r="AA54" s="11" t="n">
        <f aca="false">AA42-AA52</f>
        <v>-45858.7500840513</v>
      </c>
      <c r="AB54" s="11" t="n">
        <f aca="false">AB42-AB52</f>
        <v>-15025.0443100551</v>
      </c>
      <c r="AC54" s="11" t="n">
        <f aca="false">AC42-AC52</f>
        <v>-14199.7690541413</v>
      </c>
      <c r="AD54" s="11" t="n">
        <f aca="false">AD42-AD52</f>
        <v>-13382.713553358</v>
      </c>
      <c r="AE54" s="11" t="n">
        <f aca="false">AE42-AE52</f>
        <v>-12573.6723138269</v>
      </c>
      <c r="AF54" s="11" t="n">
        <f aca="false">AF42-AF52</f>
        <v>-11772.4449790167</v>
      </c>
      <c r="AG54" s="11" t="n">
        <f aca="false">AG42-AG52</f>
        <v>-10882.9995619518</v>
      </c>
      <c r="AH54" s="11" t="n">
        <f aca="false">AH42-AH52</f>
        <v>-10015.7902803134</v>
      </c>
      <c r="AI54" s="11" t="n">
        <f aca="false">AI42-AI52</f>
        <v>-9170.26123071606</v>
      </c>
      <c r="AJ54" s="11" t="n">
        <f aca="false">AJ42-AJ52</f>
        <v>-8345.87040735863</v>
      </c>
      <c r="AK54" s="11" t="n">
        <f aca="false">AK42-AK52</f>
        <v>-7542.08935458514</v>
      </c>
      <c r="AL54" s="11" t="n">
        <f aca="false">AL42-AL52</f>
        <v>-6758.40282813097</v>
      </c>
      <c r="AM54" s="11" t="n">
        <f aca="false">AM42-AM52</f>
        <v>-13185.7107430418</v>
      </c>
      <c r="AN54" s="11" t="n">
        <f aca="false">AN42-AN52</f>
        <v>-12412.1423323819</v>
      </c>
      <c r="AO54" s="11" t="n">
        <f aca="false">AO42-AO52</f>
        <v>-11657.9131319885</v>
      </c>
      <c r="AP54" s="11" t="n">
        <f aca="false">AP42-AP52</f>
        <v>-10922.5396616049</v>
      </c>
      <c r="AQ54" s="11" t="n">
        <f aca="false">AQ42-AQ52</f>
        <v>-10205.5505279809</v>
      </c>
      <c r="AR54" s="11" t="n">
        <f aca="false">AR42-AR52</f>
        <v>-9506.48612269748</v>
      </c>
      <c r="AS54" s="11" t="n">
        <f aca="false">AS42-AS52</f>
        <v>-8824.89832754615</v>
      </c>
      <c r="AT54" s="11" t="n">
        <f aca="false">AT42-AT52</f>
        <v>-8160.35022727362</v>
      </c>
      <c r="AU54" s="11" t="n">
        <f aca="false">AU42-AU52</f>
        <v>-7512.41582950789</v>
      </c>
      <c r="AV54" s="11" t="n">
        <f aca="false">AV42-AV52</f>
        <v>-6880.67979168631</v>
      </c>
      <c r="AW54" s="11" t="n">
        <f aca="false">AW42-AW52</f>
        <v>-6264.73715481027</v>
      </c>
      <c r="AX54" s="11" t="n">
        <f aca="false">AX42-AX52</f>
        <v>-5664.19308385612</v>
      </c>
      <c r="AY54" s="11" t="n">
        <f aca="false">AY42-AY52</f>
        <v>-11927.3398519101</v>
      </c>
      <c r="AZ54" s="11" t="n">
        <f aca="false">AZ42-AZ52</f>
        <v>-11334.7256235493</v>
      </c>
      <c r="BA54" s="11" t="n">
        <f aca="false">BA42-BA52</f>
        <v>-10756.9267508975</v>
      </c>
      <c r="BB54" s="11" t="n">
        <f aca="false">BB42-BB52</f>
        <v>-10193.572850062</v>
      </c>
      <c r="BC54" s="11" t="n">
        <f aca="false">BC42-BC52</f>
        <v>-9644.3027967474</v>
      </c>
      <c r="BD54" s="11" t="n">
        <f aca="false">BD42-BD52</f>
        <v>-9108.76449476564</v>
      </c>
      <c r="BE54" s="11" t="n">
        <f aca="false">BE42-BE52</f>
        <v>-8586.61465033343</v>
      </c>
      <c r="BF54" s="11" t="n">
        <f aca="false">BF42-BF52</f>
        <v>-8077.51855201204</v>
      </c>
      <c r="BG54" s="11" t="n">
        <f aca="false">BG42-BG52</f>
        <v>-7581.14985614867</v>
      </c>
      <c r="BH54" s="11" t="n">
        <f aca="false">BH42-BH52</f>
        <v>-7097.19037768188</v>
      </c>
      <c r="BI54" s="11" t="n">
        <f aca="false">BI42-BI52</f>
        <v>-6625.32988617677</v>
      </c>
      <c r="BJ54" s="11" t="n">
        <f aca="false">BJ42-BJ52</f>
        <v>-6165.26590695929</v>
      </c>
    </row>
    <row r="55" customFormat="false" ht="15" hidden="false" customHeight="false" outlineLevel="0" collapsed="false">
      <c r="A55" s="10" t="s">
        <v>140</v>
      </c>
      <c r="C55" s="11" t="n">
        <f aca="false">Assumptions!$B$47+C54</f>
        <v>22738.3181734219</v>
      </c>
      <c r="D55" s="11" t="n">
        <f aca="false">C55+D54</f>
        <v>14751.8557653939</v>
      </c>
      <c r="E55" s="11" t="n">
        <f aca="false">D55+E54</f>
        <v>6109.09148991572</v>
      </c>
      <c r="F55" s="11" t="n">
        <f aca="false">E55+F54</f>
        <v>-3123.20790686273</v>
      </c>
      <c r="G55" s="11" t="n">
        <f aca="false">F55+G54</f>
        <v>-12879.9448474453</v>
      </c>
      <c r="H55" s="11" t="n">
        <f aca="false">G55+H54</f>
        <v>-23097.6491937734</v>
      </c>
      <c r="I55" s="11" t="n">
        <f aca="false">H55+I54</f>
        <v>-33980.9385969229</v>
      </c>
      <c r="J55" s="11" t="n">
        <f aca="false">I55+J54</f>
        <v>-45441.9340166932</v>
      </c>
      <c r="K55" s="11" t="n">
        <f aca="false">J55+K54</f>
        <v>-57394.9533888883</v>
      </c>
      <c r="L55" s="11" t="n">
        <f aca="false">K55+L54</f>
        <v>-69756.4567009175</v>
      </c>
      <c r="M55" s="11" t="n">
        <f aca="false">L55+M54</f>
        <v>-82444.9924405046</v>
      </c>
      <c r="N55" s="11" t="n">
        <f aca="false">M55+N54</f>
        <v>-95381.1453831803</v>
      </c>
      <c r="O55" s="11" t="n">
        <f aca="false">N55+O54</f>
        <v>-110345.401343613</v>
      </c>
      <c r="P55" s="11" t="n">
        <f aca="false">O55+P54</f>
        <v>-124642.878459158</v>
      </c>
      <c r="Q55" s="11" t="n">
        <f aca="false">P55+Q54</f>
        <v>-138268.274350065</v>
      </c>
      <c r="R55" s="11" t="n">
        <f aca="false">Q55+R54</f>
        <v>-151216.41919608</v>
      </c>
      <c r="S55" s="11" t="n">
        <f aca="false">R55+S54</f>
        <v>-163482.272422453</v>
      </c>
      <c r="T55" s="11" t="n">
        <f aca="false">S55+T54</f>
        <v>-175060.919468805</v>
      </c>
      <c r="U55" s="11" t="n">
        <f aca="false">T55+U54</f>
        <v>-185778.527532807</v>
      </c>
      <c r="V55" s="11" t="n">
        <f aca="false">U55+V54</f>
        <v>-195644.742116564</v>
      </c>
      <c r="W55" s="11" t="n">
        <f aca="false">V55+W54</f>
        <v>-204668.967584628</v>
      </c>
      <c r="X55" s="11" t="n">
        <f aca="false">W55+X54</f>
        <v>-212860.373192439</v>
      </c>
      <c r="Y55" s="11" t="n">
        <f aca="false">X55+Y54</f>
        <v>-220227.898964047</v>
      </c>
      <c r="Z55" s="11" t="n">
        <f aca="false">Y55+Z54</f>
        <v>-226780.261422905</v>
      </c>
      <c r="AA55" s="11" t="n">
        <f aca="false">Z55+AA54</f>
        <v>-272639.011506956</v>
      </c>
      <c r="AB55" s="11" t="n">
        <f aca="false">AA55+AB54</f>
        <v>-287664.055817011</v>
      </c>
      <c r="AC55" s="11" t="n">
        <f aca="false">AB55+AC54</f>
        <v>-301863.824871153</v>
      </c>
      <c r="AD55" s="11" t="n">
        <f aca="false">AC55+AD54</f>
        <v>-315246.538424511</v>
      </c>
      <c r="AE55" s="11" t="n">
        <f aca="false">AD55+AE54</f>
        <v>-327820.210738338</v>
      </c>
      <c r="AF55" s="11" t="n">
        <f aca="false">AE55+AF54</f>
        <v>-339592.655717354</v>
      </c>
      <c r="AG55" s="11" t="n">
        <f aca="false">AF55+AG54</f>
        <v>-350475.655279306</v>
      </c>
      <c r="AH55" s="11" t="n">
        <f aca="false">AG55+AH54</f>
        <v>-360491.445559619</v>
      </c>
      <c r="AI55" s="11" t="n">
        <f aca="false">AH55+AI54</f>
        <v>-369661.706790335</v>
      </c>
      <c r="AJ55" s="11" t="n">
        <f aca="false">AI55+AJ54</f>
        <v>-378007.577197694</v>
      </c>
      <c r="AK55" s="11" t="n">
        <f aca="false">AJ55+AK54</f>
        <v>-385549.666552279</v>
      </c>
      <c r="AL55" s="11" t="n">
        <f aca="false">AK55+AL54</f>
        <v>-392308.06938041</v>
      </c>
      <c r="AM55" s="11" t="n">
        <f aca="false">AL55+AM54</f>
        <v>-405493.780123452</v>
      </c>
      <c r="AN55" s="11" t="n">
        <f aca="false">AM55+AN54</f>
        <v>-417905.922455834</v>
      </c>
      <c r="AO55" s="11" t="n">
        <f aca="false">AN55+AO54</f>
        <v>-429563.835587822</v>
      </c>
      <c r="AP55" s="11" t="n">
        <f aca="false">AO55+AP54</f>
        <v>-440486.375249427</v>
      </c>
      <c r="AQ55" s="11" t="n">
        <f aca="false">AP55+AQ54</f>
        <v>-450691.925777408</v>
      </c>
      <c r="AR55" s="11" t="n">
        <f aca="false">AQ55+AR54</f>
        <v>-460198.411900106</v>
      </c>
      <c r="AS55" s="11" t="n">
        <f aca="false">AR55+AS54</f>
        <v>-469023.310227652</v>
      </c>
      <c r="AT55" s="11" t="n">
        <f aca="false">AS55+AT54</f>
        <v>-477183.660454925</v>
      </c>
      <c r="AU55" s="11" t="n">
        <f aca="false">AT55+AU54</f>
        <v>-484696.076284433</v>
      </c>
      <c r="AV55" s="11" t="n">
        <f aca="false">AU55+AV54</f>
        <v>-491576.75607612</v>
      </c>
      <c r="AW55" s="11" t="n">
        <f aca="false">AV55+AW54</f>
        <v>-497841.49323093</v>
      </c>
      <c r="AX55" s="11" t="n">
        <f aca="false">AW55+AX54</f>
        <v>-503505.686314786</v>
      </c>
      <c r="AY55" s="11" t="n">
        <f aca="false">AX55+AY54</f>
        <v>-515433.026166696</v>
      </c>
      <c r="AZ55" s="11" t="n">
        <f aca="false">AY55+AZ54</f>
        <v>-526767.751790245</v>
      </c>
      <c r="BA55" s="11" t="n">
        <f aca="false">AZ55+BA54</f>
        <v>-537524.678541143</v>
      </c>
      <c r="BB55" s="11" t="n">
        <f aca="false">BA55+BB54</f>
        <v>-547718.251391205</v>
      </c>
      <c r="BC55" s="11" t="n">
        <f aca="false">BB55+BC54</f>
        <v>-557362.554187952</v>
      </c>
      <c r="BD55" s="11" t="n">
        <f aca="false">BC55+BD54</f>
        <v>-566471.318682718</v>
      </c>
      <c r="BE55" s="11" t="n">
        <f aca="false">BD55+BE54</f>
        <v>-575057.933333052</v>
      </c>
      <c r="BF55" s="11" t="n">
        <f aca="false">BE55+BF54</f>
        <v>-583135.451885064</v>
      </c>
      <c r="BG55" s="11" t="n">
        <f aca="false">BF55+BG54</f>
        <v>-590716.601741212</v>
      </c>
      <c r="BH55" s="11" t="n">
        <f aca="false">BG55+BH54</f>
        <v>-597813.792118894</v>
      </c>
      <c r="BI55" s="11" t="n">
        <f aca="false">BH55+BI54</f>
        <v>-604439.122005071</v>
      </c>
      <c r="BJ55" s="11" t="n">
        <f aca="false">BI55+BJ54</f>
        <v>-610604.38791203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
    <col collapsed="false" customWidth="true" hidden="false" outlineLevel="0" max="62" min="3" style="0" width="11"/>
  </cols>
  <sheetData>
    <row r="1" customFormat="false" ht="17.35" hidden="false" customHeight="false" outlineLevel="0" collapsed="false">
      <c r="A1" s="1" t="s">
        <v>142</v>
      </c>
    </row>
    <row r="2" customFormat="false" ht="15" hidden="false" customHeight="false" outlineLevel="0" collapsed="false">
      <c r="A2" s="2" t="s">
        <v>113</v>
      </c>
    </row>
    <row r="4" customFormat="false" ht="15" hidden="false" customHeight="false" outlineLevel="0" collapsed="false">
      <c r="A4" s="10" t="s">
        <v>114</v>
      </c>
      <c r="C4" s="21" t="n">
        <v>1</v>
      </c>
      <c r="D4" s="21" t="n">
        <v>2</v>
      </c>
      <c r="E4" s="21" t="n">
        <v>3</v>
      </c>
      <c r="F4" s="21" t="n">
        <v>4</v>
      </c>
      <c r="G4" s="21" t="n">
        <v>5</v>
      </c>
      <c r="H4" s="21" t="n">
        <v>6</v>
      </c>
      <c r="I4" s="21" t="n">
        <v>7</v>
      </c>
      <c r="J4" s="21" t="n">
        <v>8</v>
      </c>
      <c r="K4" s="21" t="n">
        <v>9</v>
      </c>
      <c r="L4" s="21" t="n">
        <v>10</v>
      </c>
      <c r="M4" s="21" t="n">
        <v>11</v>
      </c>
      <c r="N4" s="21" t="n">
        <v>12</v>
      </c>
      <c r="O4" s="21" t="n">
        <v>13</v>
      </c>
      <c r="P4" s="21" t="n">
        <v>14</v>
      </c>
      <c r="Q4" s="21" t="n">
        <v>15</v>
      </c>
      <c r="R4" s="21" t="n">
        <v>16</v>
      </c>
      <c r="S4" s="21" t="n">
        <v>17</v>
      </c>
      <c r="T4" s="21" t="n">
        <v>18</v>
      </c>
      <c r="U4" s="21" t="n">
        <v>19</v>
      </c>
      <c r="V4" s="21" t="n">
        <v>20</v>
      </c>
      <c r="W4" s="21" t="n">
        <v>21</v>
      </c>
      <c r="X4" s="21" t="n">
        <v>22</v>
      </c>
      <c r="Y4" s="21" t="n">
        <v>23</v>
      </c>
      <c r="Z4" s="21" t="n">
        <v>24</v>
      </c>
      <c r="AA4" s="21" t="n">
        <v>25</v>
      </c>
      <c r="AB4" s="21" t="n">
        <v>26</v>
      </c>
      <c r="AC4" s="21" t="n">
        <v>27</v>
      </c>
      <c r="AD4" s="21" t="n">
        <v>28</v>
      </c>
      <c r="AE4" s="21" t="n">
        <v>29</v>
      </c>
      <c r="AF4" s="21" t="n">
        <v>30</v>
      </c>
      <c r="AG4" s="21" t="n">
        <v>31</v>
      </c>
      <c r="AH4" s="21" t="n">
        <v>32</v>
      </c>
      <c r="AI4" s="21" t="n">
        <v>33</v>
      </c>
      <c r="AJ4" s="21" t="n">
        <v>34</v>
      </c>
      <c r="AK4" s="21" t="n">
        <v>35</v>
      </c>
      <c r="AL4" s="21" t="n">
        <v>36</v>
      </c>
      <c r="AM4" s="21" t="n">
        <v>37</v>
      </c>
      <c r="AN4" s="21" t="n">
        <v>38</v>
      </c>
      <c r="AO4" s="21" t="n">
        <v>39</v>
      </c>
      <c r="AP4" s="21" t="n">
        <v>40</v>
      </c>
      <c r="AQ4" s="21" t="n">
        <v>41</v>
      </c>
      <c r="AR4" s="21" t="n">
        <v>42</v>
      </c>
      <c r="AS4" s="21" t="n">
        <v>43</v>
      </c>
      <c r="AT4" s="21" t="n">
        <v>44</v>
      </c>
      <c r="AU4" s="21" t="n">
        <v>45</v>
      </c>
      <c r="AV4" s="21" t="n">
        <v>46</v>
      </c>
      <c r="AW4" s="21" t="n">
        <v>47</v>
      </c>
      <c r="AX4" s="21" t="n">
        <v>48</v>
      </c>
      <c r="AY4" s="21" t="n">
        <v>49</v>
      </c>
      <c r="AZ4" s="21" t="n">
        <v>50</v>
      </c>
      <c r="BA4" s="21" t="n">
        <v>51</v>
      </c>
      <c r="BB4" s="21" t="n">
        <v>52</v>
      </c>
      <c r="BC4" s="21" t="n">
        <v>53</v>
      </c>
      <c r="BD4" s="21" t="n">
        <v>54</v>
      </c>
      <c r="BE4" s="21" t="n">
        <v>55</v>
      </c>
      <c r="BF4" s="21" t="n">
        <v>56</v>
      </c>
      <c r="BG4" s="21" t="n">
        <v>57</v>
      </c>
      <c r="BH4" s="21" t="n">
        <v>58</v>
      </c>
      <c r="BI4" s="21" t="n">
        <v>59</v>
      </c>
      <c r="BJ4" s="21" t="n">
        <v>60</v>
      </c>
    </row>
    <row r="5" customFormat="false" ht="15" hidden="false" customHeight="false" outlineLevel="0" collapsed="false">
      <c r="A5" s="10" t="s">
        <v>115</v>
      </c>
      <c r="C5" s="21" t="n">
        <f aca="false">INT((C4-1)/12)+1</f>
        <v>1</v>
      </c>
      <c r="D5" s="21" t="n">
        <f aca="false">INT((D4-1)/12)+1</f>
        <v>1</v>
      </c>
      <c r="E5" s="21" t="n">
        <f aca="false">INT((E4-1)/12)+1</f>
        <v>1</v>
      </c>
      <c r="F5" s="21" t="n">
        <f aca="false">INT((F4-1)/12)+1</f>
        <v>1</v>
      </c>
      <c r="G5" s="21" t="n">
        <f aca="false">INT((G4-1)/12)+1</f>
        <v>1</v>
      </c>
      <c r="H5" s="21" t="n">
        <f aca="false">INT((H4-1)/12)+1</f>
        <v>1</v>
      </c>
      <c r="I5" s="21" t="n">
        <f aca="false">INT((I4-1)/12)+1</f>
        <v>1</v>
      </c>
      <c r="J5" s="21" t="n">
        <f aca="false">INT((J4-1)/12)+1</f>
        <v>1</v>
      </c>
      <c r="K5" s="21" t="n">
        <f aca="false">INT((K4-1)/12)+1</f>
        <v>1</v>
      </c>
      <c r="L5" s="21" t="n">
        <f aca="false">INT((L4-1)/12)+1</f>
        <v>1</v>
      </c>
      <c r="M5" s="21" t="n">
        <f aca="false">INT((M4-1)/12)+1</f>
        <v>1</v>
      </c>
      <c r="N5" s="21" t="n">
        <f aca="false">INT((N4-1)/12)+1</f>
        <v>1</v>
      </c>
      <c r="O5" s="21" t="n">
        <f aca="false">INT((O4-1)/12)+1</f>
        <v>2</v>
      </c>
      <c r="P5" s="21" t="n">
        <f aca="false">INT((P4-1)/12)+1</f>
        <v>2</v>
      </c>
      <c r="Q5" s="21" t="n">
        <f aca="false">INT((Q4-1)/12)+1</f>
        <v>2</v>
      </c>
      <c r="R5" s="21" t="n">
        <f aca="false">INT((R4-1)/12)+1</f>
        <v>2</v>
      </c>
      <c r="S5" s="21" t="n">
        <f aca="false">INT((S4-1)/12)+1</f>
        <v>2</v>
      </c>
      <c r="T5" s="21" t="n">
        <f aca="false">INT((T4-1)/12)+1</f>
        <v>2</v>
      </c>
      <c r="U5" s="21" t="n">
        <f aca="false">INT((U4-1)/12)+1</f>
        <v>2</v>
      </c>
      <c r="V5" s="21" t="n">
        <f aca="false">INT((V4-1)/12)+1</f>
        <v>2</v>
      </c>
      <c r="W5" s="21" t="n">
        <f aca="false">INT((W4-1)/12)+1</f>
        <v>2</v>
      </c>
      <c r="X5" s="21" t="n">
        <f aca="false">INT((X4-1)/12)+1</f>
        <v>2</v>
      </c>
      <c r="Y5" s="21" t="n">
        <f aca="false">INT((Y4-1)/12)+1</f>
        <v>2</v>
      </c>
      <c r="Z5" s="21" t="n">
        <f aca="false">INT((Z4-1)/12)+1</f>
        <v>2</v>
      </c>
      <c r="AA5" s="21" t="n">
        <f aca="false">INT((AA4-1)/12)+1</f>
        <v>3</v>
      </c>
      <c r="AB5" s="21" t="n">
        <f aca="false">INT((AB4-1)/12)+1</f>
        <v>3</v>
      </c>
      <c r="AC5" s="21" t="n">
        <f aca="false">INT((AC4-1)/12)+1</f>
        <v>3</v>
      </c>
      <c r="AD5" s="21" t="n">
        <f aca="false">INT((AD4-1)/12)+1</f>
        <v>3</v>
      </c>
      <c r="AE5" s="21" t="n">
        <f aca="false">INT((AE4-1)/12)+1</f>
        <v>3</v>
      </c>
      <c r="AF5" s="21" t="n">
        <f aca="false">INT((AF4-1)/12)+1</f>
        <v>3</v>
      </c>
      <c r="AG5" s="21" t="n">
        <f aca="false">INT((AG4-1)/12)+1</f>
        <v>3</v>
      </c>
      <c r="AH5" s="21" t="n">
        <f aca="false">INT((AH4-1)/12)+1</f>
        <v>3</v>
      </c>
      <c r="AI5" s="21" t="n">
        <f aca="false">INT((AI4-1)/12)+1</f>
        <v>3</v>
      </c>
      <c r="AJ5" s="21" t="n">
        <f aca="false">INT((AJ4-1)/12)+1</f>
        <v>3</v>
      </c>
      <c r="AK5" s="21" t="n">
        <f aca="false">INT((AK4-1)/12)+1</f>
        <v>3</v>
      </c>
      <c r="AL5" s="21" t="n">
        <f aca="false">INT((AL4-1)/12)+1</f>
        <v>3</v>
      </c>
      <c r="AM5" s="21" t="n">
        <f aca="false">INT((AM4-1)/12)+1</f>
        <v>4</v>
      </c>
      <c r="AN5" s="21" t="n">
        <f aca="false">INT((AN4-1)/12)+1</f>
        <v>4</v>
      </c>
      <c r="AO5" s="21" t="n">
        <f aca="false">INT((AO4-1)/12)+1</f>
        <v>4</v>
      </c>
      <c r="AP5" s="21" t="n">
        <f aca="false">INT((AP4-1)/12)+1</f>
        <v>4</v>
      </c>
      <c r="AQ5" s="21" t="n">
        <f aca="false">INT((AQ4-1)/12)+1</f>
        <v>4</v>
      </c>
      <c r="AR5" s="21" t="n">
        <f aca="false">INT((AR4-1)/12)+1</f>
        <v>4</v>
      </c>
      <c r="AS5" s="21" t="n">
        <f aca="false">INT((AS4-1)/12)+1</f>
        <v>4</v>
      </c>
      <c r="AT5" s="21" t="n">
        <f aca="false">INT((AT4-1)/12)+1</f>
        <v>4</v>
      </c>
      <c r="AU5" s="21" t="n">
        <f aca="false">INT((AU4-1)/12)+1</f>
        <v>4</v>
      </c>
      <c r="AV5" s="21" t="n">
        <f aca="false">INT((AV4-1)/12)+1</f>
        <v>4</v>
      </c>
      <c r="AW5" s="21" t="n">
        <f aca="false">INT((AW4-1)/12)+1</f>
        <v>4</v>
      </c>
      <c r="AX5" s="21" t="n">
        <f aca="false">INT((AX4-1)/12)+1</f>
        <v>4</v>
      </c>
      <c r="AY5" s="21" t="n">
        <f aca="false">INT((AY4-1)/12)+1</f>
        <v>5</v>
      </c>
      <c r="AZ5" s="21" t="n">
        <f aca="false">INT((AZ4-1)/12)+1</f>
        <v>5</v>
      </c>
      <c r="BA5" s="21" t="n">
        <f aca="false">INT((BA4-1)/12)+1</f>
        <v>5</v>
      </c>
      <c r="BB5" s="21" t="n">
        <f aca="false">INT((BB4-1)/12)+1</f>
        <v>5</v>
      </c>
      <c r="BC5" s="21" t="n">
        <f aca="false">INT((BC4-1)/12)+1</f>
        <v>5</v>
      </c>
      <c r="BD5" s="21" t="n">
        <f aca="false">INT((BD4-1)/12)+1</f>
        <v>5</v>
      </c>
      <c r="BE5" s="21" t="n">
        <f aca="false">INT((BE4-1)/12)+1</f>
        <v>5</v>
      </c>
      <c r="BF5" s="21" t="n">
        <f aca="false">INT((BF4-1)/12)+1</f>
        <v>5</v>
      </c>
      <c r="BG5" s="21" t="n">
        <f aca="false">INT((BG4-1)/12)+1</f>
        <v>5</v>
      </c>
      <c r="BH5" s="21" t="n">
        <f aca="false">INT((BH4-1)/12)+1</f>
        <v>5</v>
      </c>
      <c r="BI5" s="21" t="n">
        <f aca="false">INT((BI4-1)/12)+1</f>
        <v>5</v>
      </c>
      <c r="BJ5" s="21" t="n">
        <f aca="false">INT((BJ4-1)/12)+1</f>
        <v>5</v>
      </c>
    </row>
    <row r="6" customFormat="false" ht="15" hidden="false" customHeight="false" outlineLevel="0" collapsed="false">
      <c r="A6" s="5" t="s">
        <v>116</v>
      </c>
      <c r="C6" s="30" t="n">
        <f aca="false">(1+Assumptions!$E$28)^(C5-1)*Assumptions!$B$21</f>
        <v>1</v>
      </c>
      <c r="D6" s="30" t="n">
        <f aca="false">(1+Assumptions!$E$28)^(D5-1)*Assumptions!$B$21</f>
        <v>1</v>
      </c>
      <c r="E6" s="30" t="n">
        <f aca="false">(1+Assumptions!$E$28)^(E5-1)*Assumptions!$B$21</f>
        <v>1</v>
      </c>
      <c r="F6" s="30" t="n">
        <f aca="false">(1+Assumptions!$E$28)^(F5-1)*Assumptions!$B$21</f>
        <v>1</v>
      </c>
      <c r="G6" s="30" t="n">
        <f aca="false">(1+Assumptions!$E$28)^(G5-1)*Assumptions!$B$21</f>
        <v>1</v>
      </c>
      <c r="H6" s="30" t="n">
        <f aca="false">(1+Assumptions!$E$28)^(H5-1)*Assumptions!$B$21</f>
        <v>1</v>
      </c>
      <c r="I6" s="30" t="n">
        <f aca="false">(1+Assumptions!$E$28)^(I5-1)*Assumptions!$B$21</f>
        <v>1</v>
      </c>
      <c r="J6" s="30" t="n">
        <f aca="false">(1+Assumptions!$E$28)^(J5-1)*Assumptions!$B$21</f>
        <v>1</v>
      </c>
      <c r="K6" s="30" t="n">
        <f aca="false">(1+Assumptions!$E$28)^(K5-1)*Assumptions!$B$21</f>
        <v>1</v>
      </c>
      <c r="L6" s="30" t="n">
        <f aca="false">(1+Assumptions!$E$28)^(L5-1)*Assumptions!$B$21</f>
        <v>1</v>
      </c>
      <c r="M6" s="30" t="n">
        <f aca="false">(1+Assumptions!$E$28)^(M5-1)*Assumptions!$B$21</f>
        <v>1</v>
      </c>
      <c r="N6" s="30" t="n">
        <f aca="false">(1+Assumptions!$E$28)^(N5-1)*Assumptions!$B$21</f>
        <v>1</v>
      </c>
      <c r="O6" s="30" t="n">
        <f aca="false">(1+Assumptions!$E$28)^(O5-1)*Assumptions!$B$21</f>
        <v>1.05</v>
      </c>
      <c r="P6" s="30" t="n">
        <f aca="false">(1+Assumptions!$E$28)^(P5-1)*Assumptions!$B$21</f>
        <v>1.05</v>
      </c>
      <c r="Q6" s="30" t="n">
        <f aca="false">(1+Assumptions!$E$28)^(Q5-1)*Assumptions!$B$21</f>
        <v>1.05</v>
      </c>
      <c r="R6" s="30" t="n">
        <f aca="false">(1+Assumptions!$E$28)^(R5-1)*Assumptions!$B$21</f>
        <v>1.05</v>
      </c>
      <c r="S6" s="30" t="n">
        <f aca="false">(1+Assumptions!$E$28)^(S5-1)*Assumptions!$B$21</f>
        <v>1.05</v>
      </c>
      <c r="T6" s="30" t="n">
        <f aca="false">(1+Assumptions!$E$28)^(T5-1)*Assumptions!$B$21</f>
        <v>1.05</v>
      </c>
      <c r="U6" s="30" t="n">
        <f aca="false">(1+Assumptions!$E$28)^(U5-1)*Assumptions!$B$21</f>
        <v>1.05</v>
      </c>
      <c r="V6" s="30" t="n">
        <f aca="false">(1+Assumptions!$E$28)^(V5-1)*Assumptions!$B$21</f>
        <v>1.05</v>
      </c>
      <c r="W6" s="30" t="n">
        <f aca="false">(1+Assumptions!$E$28)^(W5-1)*Assumptions!$B$21</f>
        <v>1.05</v>
      </c>
      <c r="X6" s="30" t="n">
        <f aca="false">(1+Assumptions!$E$28)^(X5-1)*Assumptions!$B$21</f>
        <v>1.05</v>
      </c>
      <c r="Y6" s="30" t="n">
        <f aca="false">(1+Assumptions!$E$28)^(Y5-1)*Assumptions!$B$21</f>
        <v>1.05</v>
      </c>
      <c r="Z6" s="30" t="n">
        <f aca="false">(1+Assumptions!$E$28)^(Z5-1)*Assumptions!$B$21</f>
        <v>1.05</v>
      </c>
      <c r="AA6" s="30" t="n">
        <f aca="false">(1+Assumptions!$E$28)^(AA5-1)*Assumptions!$B$21</f>
        <v>1.1025</v>
      </c>
      <c r="AB6" s="30" t="n">
        <f aca="false">(1+Assumptions!$E$28)^(AB5-1)*Assumptions!$B$21</f>
        <v>1.1025</v>
      </c>
      <c r="AC6" s="30" t="n">
        <f aca="false">(1+Assumptions!$E$28)^(AC5-1)*Assumptions!$B$21</f>
        <v>1.1025</v>
      </c>
      <c r="AD6" s="30" t="n">
        <f aca="false">(1+Assumptions!$E$28)^(AD5-1)*Assumptions!$B$21</f>
        <v>1.1025</v>
      </c>
      <c r="AE6" s="30" t="n">
        <f aca="false">(1+Assumptions!$E$28)^(AE5-1)*Assumptions!$B$21</f>
        <v>1.1025</v>
      </c>
      <c r="AF6" s="30" t="n">
        <f aca="false">(1+Assumptions!$E$28)^(AF5-1)*Assumptions!$B$21</f>
        <v>1.1025</v>
      </c>
      <c r="AG6" s="30" t="n">
        <f aca="false">(1+Assumptions!$E$28)^(AG5-1)*Assumptions!$B$21</f>
        <v>1.1025</v>
      </c>
      <c r="AH6" s="30" t="n">
        <f aca="false">(1+Assumptions!$E$28)^(AH5-1)*Assumptions!$B$21</f>
        <v>1.1025</v>
      </c>
      <c r="AI6" s="30" t="n">
        <f aca="false">(1+Assumptions!$E$28)^(AI5-1)*Assumptions!$B$21</f>
        <v>1.1025</v>
      </c>
      <c r="AJ6" s="30" t="n">
        <f aca="false">(1+Assumptions!$E$28)^(AJ5-1)*Assumptions!$B$21</f>
        <v>1.1025</v>
      </c>
      <c r="AK6" s="30" t="n">
        <f aca="false">(1+Assumptions!$E$28)^(AK5-1)*Assumptions!$B$21</f>
        <v>1.1025</v>
      </c>
      <c r="AL6" s="30" t="n">
        <f aca="false">(1+Assumptions!$E$28)^(AL5-1)*Assumptions!$B$21</f>
        <v>1.1025</v>
      </c>
      <c r="AM6" s="30" t="n">
        <f aca="false">(1+Assumptions!$E$28)^(AM5-1)*Assumptions!$B$21</f>
        <v>1.157625</v>
      </c>
      <c r="AN6" s="30" t="n">
        <f aca="false">(1+Assumptions!$E$28)^(AN5-1)*Assumptions!$B$21</f>
        <v>1.157625</v>
      </c>
      <c r="AO6" s="30" t="n">
        <f aca="false">(1+Assumptions!$E$28)^(AO5-1)*Assumptions!$B$21</f>
        <v>1.157625</v>
      </c>
      <c r="AP6" s="30" t="n">
        <f aca="false">(1+Assumptions!$E$28)^(AP5-1)*Assumptions!$B$21</f>
        <v>1.157625</v>
      </c>
      <c r="AQ6" s="30" t="n">
        <f aca="false">(1+Assumptions!$E$28)^(AQ5-1)*Assumptions!$B$21</f>
        <v>1.157625</v>
      </c>
      <c r="AR6" s="30" t="n">
        <f aca="false">(1+Assumptions!$E$28)^(AR5-1)*Assumptions!$B$21</f>
        <v>1.157625</v>
      </c>
      <c r="AS6" s="30" t="n">
        <f aca="false">(1+Assumptions!$E$28)^(AS5-1)*Assumptions!$B$21</f>
        <v>1.157625</v>
      </c>
      <c r="AT6" s="30" t="n">
        <f aca="false">(1+Assumptions!$E$28)^(AT5-1)*Assumptions!$B$21</f>
        <v>1.157625</v>
      </c>
      <c r="AU6" s="30" t="n">
        <f aca="false">(1+Assumptions!$E$28)^(AU5-1)*Assumptions!$B$21</f>
        <v>1.157625</v>
      </c>
      <c r="AV6" s="30" t="n">
        <f aca="false">(1+Assumptions!$E$28)^(AV5-1)*Assumptions!$B$21</f>
        <v>1.157625</v>
      </c>
      <c r="AW6" s="30" t="n">
        <f aca="false">(1+Assumptions!$E$28)^(AW5-1)*Assumptions!$B$21</f>
        <v>1.157625</v>
      </c>
      <c r="AX6" s="30" t="n">
        <f aca="false">(1+Assumptions!$E$28)^(AX5-1)*Assumptions!$B$21</f>
        <v>1.157625</v>
      </c>
      <c r="AY6" s="30" t="n">
        <f aca="false">(1+Assumptions!$E$28)^(AY5-1)*Assumptions!$B$21</f>
        <v>1.21550625</v>
      </c>
      <c r="AZ6" s="30" t="n">
        <f aca="false">(1+Assumptions!$E$28)^(AZ5-1)*Assumptions!$B$21</f>
        <v>1.21550625</v>
      </c>
      <c r="BA6" s="30" t="n">
        <f aca="false">(1+Assumptions!$E$28)^(BA5-1)*Assumptions!$B$21</f>
        <v>1.21550625</v>
      </c>
      <c r="BB6" s="30" t="n">
        <f aca="false">(1+Assumptions!$E$28)^(BB5-1)*Assumptions!$B$21</f>
        <v>1.21550625</v>
      </c>
      <c r="BC6" s="30" t="n">
        <f aca="false">(1+Assumptions!$E$28)^(BC5-1)*Assumptions!$B$21</f>
        <v>1.21550625</v>
      </c>
      <c r="BD6" s="30" t="n">
        <f aca="false">(1+Assumptions!$E$28)^(BD5-1)*Assumptions!$B$21</f>
        <v>1.21550625</v>
      </c>
      <c r="BE6" s="30" t="n">
        <f aca="false">(1+Assumptions!$E$28)^(BE5-1)*Assumptions!$B$21</f>
        <v>1.21550625</v>
      </c>
      <c r="BF6" s="30" t="n">
        <f aca="false">(1+Assumptions!$E$28)^(BF5-1)*Assumptions!$B$21</f>
        <v>1.21550625</v>
      </c>
      <c r="BG6" s="30" t="n">
        <f aca="false">(1+Assumptions!$E$28)^(BG5-1)*Assumptions!$B$21</f>
        <v>1.21550625</v>
      </c>
      <c r="BH6" s="30" t="n">
        <f aca="false">(1+Assumptions!$E$28)^(BH5-1)*Assumptions!$B$21</f>
        <v>1.21550625</v>
      </c>
      <c r="BI6" s="30" t="n">
        <f aca="false">(1+Assumptions!$E$28)^(BI5-1)*Assumptions!$B$21</f>
        <v>1.21550625</v>
      </c>
      <c r="BJ6" s="30" t="n">
        <f aca="false">(1+Assumptions!$E$28)^(BJ5-1)*Assumptions!$B$21</f>
        <v>1.21550625</v>
      </c>
    </row>
    <row r="8" customFormat="false" ht="15" hidden="false" customHeight="false" outlineLevel="0" collapsed="false">
      <c r="A8" s="10" t="s">
        <v>117</v>
      </c>
    </row>
    <row r="9" customFormat="false" ht="15" hidden="false" customHeight="false" outlineLevel="0" collapsed="false">
      <c r="A9" s="5" t="s">
        <v>42</v>
      </c>
      <c r="C9" s="31" t="n">
        <f aca="false">IF(C4&lt;Assumptions!$E$6,0,MIN(1,(C4-Assumptions!$E$6+1)/Assumptions!$E$29))</f>
        <v>0.111111111111111</v>
      </c>
      <c r="D9" s="31" t="n">
        <f aca="false">IF(D4&lt;Assumptions!$E$6,0,MIN(1,(D4-Assumptions!$E$6+1)/Assumptions!$E$29))</f>
        <v>0.222222222222222</v>
      </c>
      <c r="E9" s="31" t="n">
        <f aca="false">IF(E4&lt;Assumptions!$E$6,0,MIN(1,(E4-Assumptions!$E$6+1)/Assumptions!$E$29))</f>
        <v>0.333333333333333</v>
      </c>
      <c r="F9" s="31" t="n">
        <f aca="false">IF(F4&lt;Assumptions!$E$6,0,MIN(1,(F4-Assumptions!$E$6+1)/Assumptions!$E$29))</f>
        <v>0.444444444444444</v>
      </c>
      <c r="G9" s="31" t="n">
        <f aca="false">IF(G4&lt;Assumptions!$E$6,0,MIN(1,(G4-Assumptions!$E$6+1)/Assumptions!$E$29))</f>
        <v>0.555555555555556</v>
      </c>
      <c r="H9" s="31" t="n">
        <f aca="false">IF(H4&lt;Assumptions!$E$6,0,MIN(1,(H4-Assumptions!$E$6+1)/Assumptions!$E$29))</f>
        <v>0.666666666666667</v>
      </c>
      <c r="I9" s="31" t="n">
        <f aca="false">IF(I4&lt;Assumptions!$E$6,0,MIN(1,(I4-Assumptions!$E$6+1)/Assumptions!$E$29))</f>
        <v>0.777777777777778</v>
      </c>
      <c r="J9" s="31" t="n">
        <f aca="false">IF(J4&lt;Assumptions!$E$6,0,MIN(1,(J4-Assumptions!$E$6+1)/Assumptions!$E$29))</f>
        <v>0.888888888888889</v>
      </c>
      <c r="K9" s="31" t="n">
        <f aca="false">IF(K4&lt;Assumptions!$E$6,0,MIN(1,(K4-Assumptions!$E$6+1)/Assumptions!$E$29))</f>
        <v>1</v>
      </c>
      <c r="L9" s="31" t="n">
        <f aca="false">IF(L4&lt;Assumptions!$E$6,0,MIN(1,(L4-Assumptions!$E$6+1)/Assumptions!$E$29))</f>
        <v>1</v>
      </c>
      <c r="M9" s="31" t="n">
        <f aca="false">IF(M4&lt;Assumptions!$E$6,0,MIN(1,(M4-Assumptions!$E$6+1)/Assumptions!$E$29))</f>
        <v>1</v>
      </c>
      <c r="N9" s="31" t="n">
        <f aca="false">IF(N4&lt;Assumptions!$E$6,0,MIN(1,(N4-Assumptions!$E$6+1)/Assumptions!$E$29))</f>
        <v>1</v>
      </c>
      <c r="O9" s="31" t="n">
        <f aca="false">IF(O4&lt;Assumptions!$E$6,0,MIN(1,(O4-Assumptions!$E$6+1)/Assumptions!$E$29))</f>
        <v>1</v>
      </c>
      <c r="P9" s="31" t="n">
        <f aca="false">IF(P4&lt;Assumptions!$E$6,0,MIN(1,(P4-Assumptions!$E$6+1)/Assumptions!$E$29))</f>
        <v>1</v>
      </c>
      <c r="Q9" s="31" t="n">
        <f aca="false">IF(Q4&lt;Assumptions!$E$6,0,MIN(1,(Q4-Assumptions!$E$6+1)/Assumptions!$E$29))</f>
        <v>1</v>
      </c>
      <c r="R9" s="31" t="n">
        <f aca="false">IF(R4&lt;Assumptions!$E$6,0,MIN(1,(R4-Assumptions!$E$6+1)/Assumptions!$E$29))</f>
        <v>1</v>
      </c>
      <c r="S9" s="31" t="n">
        <f aca="false">IF(S4&lt;Assumptions!$E$6,0,MIN(1,(S4-Assumptions!$E$6+1)/Assumptions!$E$29))</f>
        <v>1</v>
      </c>
      <c r="T9" s="31" t="n">
        <f aca="false">IF(T4&lt;Assumptions!$E$6,0,MIN(1,(T4-Assumptions!$E$6+1)/Assumptions!$E$29))</f>
        <v>1</v>
      </c>
      <c r="U9" s="31" t="n">
        <f aca="false">IF(U4&lt;Assumptions!$E$6,0,MIN(1,(U4-Assumptions!$E$6+1)/Assumptions!$E$29))</f>
        <v>1</v>
      </c>
      <c r="V9" s="31" t="n">
        <f aca="false">IF(V4&lt;Assumptions!$E$6,0,MIN(1,(V4-Assumptions!$E$6+1)/Assumptions!$E$29))</f>
        <v>1</v>
      </c>
      <c r="W9" s="31" t="n">
        <f aca="false">IF(W4&lt;Assumptions!$E$6,0,MIN(1,(W4-Assumptions!$E$6+1)/Assumptions!$E$29))</f>
        <v>1</v>
      </c>
      <c r="X9" s="31" t="n">
        <f aca="false">IF(X4&lt;Assumptions!$E$6,0,MIN(1,(X4-Assumptions!$E$6+1)/Assumptions!$E$29))</f>
        <v>1</v>
      </c>
      <c r="Y9" s="31" t="n">
        <f aca="false">IF(Y4&lt;Assumptions!$E$6,0,MIN(1,(Y4-Assumptions!$E$6+1)/Assumptions!$E$29))</f>
        <v>1</v>
      </c>
      <c r="Z9" s="31" t="n">
        <f aca="false">IF(Z4&lt;Assumptions!$E$6,0,MIN(1,(Z4-Assumptions!$E$6+1)/Assumptions!$E$29))</f>
        <v>1</v>
      </c>
      <c r="AA9" s="31" t="n">
        <f aca="false">IF(AA4&lt;Assumptions!$E$6,0,MIN(1,(AA4-Assumptions!$E$6+1)/Assumptions!$E$29))</f>
        <v>1</v>
      </c>
      <c r="AB9" s="31" t="n">
        <f aca="false">IF(AB4&lt;Assumptions!$E$6,0,MIN(1,(AB4-Assumptions!$E$6+1)/Assumptions!$E$29))</f>
        <v>1</v>
      </c>
      <c r="AC9" s="31" t="n">
        <f aca="false">IF(AC4&lt;Assumptions!$E$6,0,MIN(1,(AC4-Assumptions!$E$6+1)/Assumptions!$E$29))</f>
        <v>1</v>
      </c>
      <c r="AD9" s="31" t="n">
        <f aca="false">IF(AD4&lt;Assumptions!$E$6,0,MIN(1,(AD4-Assumptions!$E$6+1)/Assumptions!$E$29))</f>
        <v>1</v>
      </c>
      <c r="AE9" s="31" t="n">
        <f aca="false">IF(AE4&lt;Assumptions!$E$6,0,MIN(1,(AE4-Assumptions!$E$6+1)/Assumptions!$E$29))</f>
        <v>1</v>
      </c>
      <c r="AF9" s="31" t="n">
        <f aca="false">IF(AF4&lt;Assumptions!$E$6,0,MIN(1,(AF4-Assumptions!$E$6+1)/Assumptions!$E$29))</f>
        <v>1</v>
      </c>
      <c r="AG9" s="31" t="n">
        <f aca="false">IF(AG4&lt;Assumptions!$E$6,0,MIN(1,(AG4-Assumptions!$E$6+1)/Assumptions!$E$29))</f>
        <v>1</v>
      </c>
      <c r="AH9" s="31" t="n">
        <f aca="false">IF(AH4&lt;Assumptions!$E$6,0,MIN(1,(AH4-Assumptions!$E$6+1)/Assumptions!$E$29))</f>
        <v>1</v>
      </c>
      <c r="AI9" s="31" t="n">
        <f aca="false">IF(AI4&lt;Assumptions!$E$6,0,MIN(1,(AI4-Assumptions!$E$6+1)/Assumptions!$E$29))</f>
        <v>1</v>
      </c>
      <c r="AJ9" s="31" t="n">
        <f aca="false">IF(AJ4&lt;Assumptions!$E$6,0,MIN(1,(AJ4-Assumptions!$E$6+1)/Assumptions!$E$29))</f>
        <v>1</v>
      </c>
      <c r="AK9" s="31" t="n">
        <f aca="false">IF(AK4&lt;Assumptions!$E$6,0,MIN(1,(AK4-Assumptions!$E$6+1)/Assumptions!$E$29))</f>
        <v>1</v>
      </c>
      <c r="AL9" s="31" t="n">
        <f aca="false">IF(AL4&lt;Assumptions!$E$6,0,MIN(1,(AL4-Assumptions!$E$6+1)/Assumptions!$E$29))</f>
        <v>1</v>
      </c>
      <c r="AM9" s="31" t="n">
        <f aca="false">IF(AM4&lt;Assumptions!$E$6,0,MIN(1,(AM4-Assumptions!$E$6+1)/Assumptions!$E$29))</f>
        <v>1</v>
      </c>
      <c r="AN9" s="31" t="n">
        <f aca="false">IF(AN4&lt;Assumptions!$E$6,0,MIN(1,(AN4-Assumptions!$E$6+1)/Assumptions!$E$29))</f>
        <v>1</v>
      </c>
      <c r="AO9" s="31" t="n">
        <f aca="false">IF(AO4&lt;Assumptions!$E$6,0,MIN(1,(AO4-Assumptions!$E$6+1)/Assumptions!$E$29))</f>
        <v>1</v>
      </c>
      <c r="AP9" s="31" t="n">
        <f aca="false">IF(AP4&lt;Assumptions!$E$6,0,MIN(1,(AP4-Assumptions!$E$6+1)/Assumptions!$E$29))</f>
        <v>1</v>
      </c>
      <c r="AQ9" s="31" t="n">
        <f aca="false">IF(AQ4&lt;Assumptions!$E$6,0,MIN(1,(AQ4-Assumptions!$E$6+1)/Assumptions!$E$29))</f>
        <v>1</v>
      </c>
      <c r="AR9" s="31" t="n">
        <f aca="false">IF(AR4&lt;Assumptions!$E$6,0,MIN(1,(AR4-Assumptions!$E$6+1)/Assumptions!$E$29))</f>
        <v>1</v>
      </c>
      <c r="AS9" s="31" t="n">
        <f aca="false">IF(AS4&lt;Assumptions!$E$6,0,MIN(1,(AS4-Assumptions!$E$6+1)/Assumptions!$E$29))</f>
        <v>1</v>
      </c>
      <c r="AT9" s="31" t="n">
        <f aca="false">IF(AT4&lt;Assumptions!$E$6,0,MIN(1,(AT4-Assumptions!$E$6+1)/Assumptions!$E$29))</f>
        <v>1</v>
      </c>
      <c r="AU9" s="31" t="n">
        <f aca="false">IF(AU4&lt;Assumptions!$E$6,0,MIN(1,(AU4-Assumptions!$E$6+1)/Assumptions!$E$29))</f>
        <v>1</v>
      </c>
      <c r="AV9" s="31" t="n">
        <f aca="false">IF(AV4&lt;Assumptions!$E$6,0,MIN(1,(AV4-Assumptions!$E$6+1)/Assumptions!$E$29))</f>
        <v>1</v>
      </c>
      <c r="AW9" s="31" t="n">
        <f aca="false">IF(AW4&lt;Assumptions!$E$6,0,MIN(1,(AW4-Assumptions!$E$6+1)/Assumptions!$E$29))</f>
        <v>1</v>
      </c>
      <c r="AX9" s="31" t="n">
        <f aca="false">IF(AX4&lt;Assumptions!$E$6,0,MIN(1,(AX4-Assumptions!$E$6+1)/Assumptions!$E$29))</f>
        <v>1</v>
      </c>
      <c r="AY9" s="31" t="n">
        <f aca="false">IF(AY4&lt;Assumptions!$E$6,0,MIN(1,(AY4-Assumptions!$E$6+1)/Assumptions!$E$29))</f>
        <v>1</v>
      </c>
      <c r="AZ9" s="31" t="n">
        <f aca="false">IF(AZ4&lt;Assumptions!$E$6,0,MIN(1,(AZ4-Assumptions!$E$6+1)/Assumptions!$E$29))</f>
        <v>1</v>
      </c>
      <c r="BA9" s="31" t="n">
        <f aca="false">IF(BA4&lt;Assumptions!$E$6,0,MIN(1,(BA4-Assumptions!$E$6+1)/Assumptions!$E$29))</f>
        <v>1</v>
      </c>
      <c r="BB9" s="31" t="n">
        <f aca="false">IF(BB4&lt;Assumptions!$E$6,0,MIN(1,(BB4-Assumptions!$E$6+1)/Assumptions!$E$29))</f>
        <v>1</v>
      </c>
      <c r="BC9" s="31" t="n">
        <f aca="false">IF(BC4&lt;Assumptions!$E$6,0,MIN(1,(BC4-Assumptions!$E$6+1)/Assumptions!$E$29))</f>
        <v>1</v>
      </c>
      <c r="BD9" s="31" t="n">
        <f aca="false">IF(BD4&lt;Assumptions!$E$6,0,MIN(1,(BD4-Assumptions!$E$6+1)/Assumptions!$E$29))</f>
        <v>1</v>
      </c>
      <c r="BE9" s="31" t="n">
        <f aca="false">IF(BE4&lt;Assumptions!$E$6,0,MIN(1,(BE4-Assumptions!$E$6+1)/Assumptions!$E$29))</f>
        <v>1</v>
      </c>
      <c r="BF9" s="31" t="n">
        <f aca="false">IF(BF4&lt;Assumptions!$E$6,0,MIN(1,(BF4-Assumptions!$E$6+1)/Assumptions!$E$29))</f>
        <v>1</v>
      </c>
      <c r="BG9" s="31" t="n">
        <f aca="false">IF(BG4&lt;Assumptions!$E$6,0,MIN(1,(BG4-Assumptions!$E$6+1)/Assumptions!$E$29))</f>
        <v>1</v>
      </c>
      <c r="BH9" s="31" t="n">
        <f aca="false">IF(BH4&lt;Assumptions!$E$6,0,MIN(1,(BH4-Assumptions!$E$6+1)/Assumptions!$E$29))</f>
        <v>1</v>
      </c>
      <c r="BI9" s="31" t="n">
        <f aca="false">IF(BI4&lt;Assumptions!$E$6,0,MIN(1,(BI4-Assumptions!$E$6+1)/Assumptions!$E$29))</f>
        <v>1</v>
      </c>
      <c r="BJ9" s="31" t="n">
        <f aca="false">IF(BJ4&lt;Assumptions!$E$6,0,MIN(1,(BJ4-Assumptions!$E$6+1)/Assumptions!$E$29))</f>
        <v>1</v>
      </c>
    </row>
    <row r="10" customFormat="false" ht="15" hidden="false" customHeight="false" outlineLevel="0" collapsed="false">
      <c r="A10" s="5" t="s">
        <v>44</v>
      </c>
      <c r="C10" s="31" t="n">
        <f aca="false">IF(C4&lt;Assumptions!$E$7,0,MIN(1,(C4-Assumptions!$E$7+1)/Assumptions!$E$29))</f>
        <v>0</v>
      </c>
      <c r="D10" s="31" t="n">
        <f aca="false">IF(D4&lt;Assumptions!$E$7,0,MIN(1,(D4-Assumptions!$E$7+1)/Assumptions!$E$29))</f>
        <v>0</v>
      </c>
      <c r="E10" s="31" t="n">
        <f aca="false">IF(E4&lt;Assumptions!$E$7,0,MIN(1,(E4-Assumptions!$E$7+1)/Assumptions!$E$29))</f>
        <v>0</v>
      </c>
      <c r="F10" s="31" t="n">
        <f aca="false">IF(F4&lt;Assumptions!$E$7,0,MIN(1,(F4-Assumptions!$E$7+1)/Assumptions!$E$29))</f>
        <v>0</v>
      </c>
      <c r="G10" s="31" t="n">
        <f aca="false">IF(G4&lt;Assumptions!$E$7,0,MIN(1,(G4-Assumptions!$E$7+1)/Assumptions!$E$29))</f>
        <v>0</v>
      </c>
      <c r="H10" s="31" t="n">
        <f aca="false">IF(H4&lt;Assumptions!$E$7,0,MIN(1,(H4-Assumptions!$E$7+1)/Assumptions!$E$29))</f>
        <v>0</v>
      </c>
      <c r="I10" s="31" t="n">
        <f aca="false">IF(I4&lt;Assumptions!$E$7,0,MIN(1,(I4-Assumptions!$E$7+1)/Assumptions!$E$29))</f>
        <v>0.111111111111111</v>
      </c>
      <c r="J10" s="31" t="n">
        <f aca="false">IF(J4&lt;Assumptions!$E$7,0,MIN(1,(J4-Assumptions!$E$7+1)/Assumptions!$E$29))</f>
        <v>0.222222222222222</v>
      </c>
      <c r="K10" s="31" t="n">
        <f aca="false">IF(K4&lt;Assumptions!$E$7,0,MIN(1,(K4-Assumptions!$E$7+1)/Assumptions!$E$29))</f>
        <v>0.333333333333333</v>
      </c>
      <c r="L10" s="31" t="n">
        <f aca="false">IF(L4&lt;Assumptions!$E$7,0,MIN(1,(L4-Assumptions!$E$7+1)/Assumptions!$E$29))</f>
        <v>0.444444444444444</v>
      </c>
      <c r="M10" s="31" t="n">
        <f aca="false">IF(M4&lt;Assumptions!$E$7,0,MIN(1,(M4-Assumptions!$E$7+1)/Assumptions!$E$29))</f>
        <v>0.555555555555556</v>
      </c>
      <c r="N10" s="31" t="n">
        <f aca="false">IF(N4&lt;Assumptions!$E$7,0,MIN(1,(N4-Assumptions!$E$7+1)/Assumptions!$E$29))</f>
        <v>0.666666666666667</v>
      </c>
      <c r="O10" s="31" t="n">
        <f aca="false">IF(O4&lt;Assumptions!$E$7,0,MIN(1,(O4-Assumptions!$E$7+1)/Assumptions!$E$29))</f>
        <v>0.777777777777778</v>
      </c>
      <c r="P10" s="31" t="n">
        <f aca="false">IF(P4&lt;Assumptions!$E$7,0,MIN(1,(P4-Assumptions!$E$7+1)/Assumptions!$E$29))</f>
        <v>0.888888888888889</v>
      </c>
      <c r="Q10" s="31" t="n">
        <f aca="false">IF(Q4&lt;Assumptions!$E$7,0,MIN(1,(Q4-Assumptions!$E$7+1)/Assumptions!$E$29))</f>
        <v>1</v>
      </c>
      <c r="R10" s="31" t="n">
        <f aca="false">IF(R4&lt;Assumptions!$E$7,0,MIN(1,(R4-Assumptions!$E$7+1)/Assumptions!$E$29))</f>
        <v>1</v>
      </c>
      <c r="S10" s="31" t="n">
        <f aca="false">IF(S4&lt;Assumptions!$E$7,0,MIN(1,(S4-Assumptions!$E$7+1)/Assumptions!$E$29))</f>
        <v>1</v>
      </c>
      <c r="T10" s="31" t="n">
        <f aca="false">IF(T4&lt;Assumptions!$E$7,0,MIN(1,(T4-Assumptions!$E$7+1)/Assumptions!$E$29))</f>
        <v>1</v>
      </c>
      <c r="U10" s="31" t="n">
        <f aca="false">IF(U4&lt;Assumptions!$E$7,0,MIN(1,(U4-Assumptions!$E$7+1)/Assumptions!$E$29))</f>
        <v>1</v>
      </c>
      <c r="V10" s="31" t="n">
        <f aca="false">IF(V4&lt;Assumptions!$E$7,0,MIN(1,(V4-Assumptions!$E$7+1)/Assumptions!$E$29))</f>
        <v>1</v>
      </c>
      <c r="W10" s="31" t="n">
        <f aca="false">IF(W4&lt;Assumptions!$E$7,0,MIN(1,(W4-Assumptions!$E$7+1)/Assumptions!$E$29))</f>
        <v>1</v>
      </c>
      <c r="X10" s="31" t="n">
        <f aca="false">IF(X4&lt;Assumptions!$E$7,0,MIN(1,(X4-Assumptions!$E$7+1)/Assumptions!$E$29))</f>
        <v>1</v>
      </c>
      <c r="Y10" s="31" t="n">
        <f aca="false">IF(Y4&lt;Assumptions!$E$7,0,MIN(1,(Y4-Assumptions!$E$7+1)/Assumptions!$E$29))</f>
        <v>1</v>
      </c>
      <c r="Z10" s="31" t="n">
        <f aca="false">IF(Z4&lt;Assumptions!$E$7,0,MIN(1,(Z4-Assumptions!$E$7+1)/Assumptions!$E$29))</f>
        <v>1</v>
      </c>
      <c r="AA10" s="31" t="n">
        <f aca="false">IF(AA4&lt;Assumptions!$E$7,0,MIN(1,(AA4-Assumptions!$E$7+1)/Assumptions!$E$29))</f>
        <v>1</v>
      </c>
      <c r="AB10" s="31" t="n">
        <f aca="false">IF(AB4&lt;Assumptions!$E$7,0,MIN(1,(AB4-Assumptions!$E$7+1)/Assumptions!$E$29))</f>
        <v>1</v>
      </c>
      <c r="AC10" s="31" t="n">
        <f aca="false">IF(AC4&lt;Assumptions!$E$7,0,MIN(1,(AC4-Assumptions!$E$7+1)/Assumptions!$E$29))</f>
        <v>1</v>
      </c>
      <c r="AD10" s="31" t="n">
        <f aca="false">IF(AD4&lt;Assumptions!$E$7,0,MIN(1,(AD4-Assumptions!$E$7+1)/Assumptions!$E$29))</f>
        <v>1</v>
      </c>
      <c r="AE10" s="31" t="n">
        <f aca="false">IF(AE4&lt;Assumptions!$E$7,0,MIN(1,(AE4-Assumptions!$E$7+1)/Assumptions!$E$29))</f>
        <v>1</v>
      </c>
      <c r="AF10" s="31" t="n">
        <f aca="false">IF(AF4&lt;Assumptions!$E$7,0,MIN(1,(AF4-Assumptions!$E$7+1)/Assumptions!$E$29))</f>
        <v>1</v>
      </c>
      <c r="AG10" s="31" t="n">
        <f aca="false">IF(AG4&lt;Assumptions!$E$7,0,MIN(1,(AG4-Assumptions!$E$7+1)/Assumptions!$E$29))</f>
        <v>1</v>
      </c>
      <c r="AH10" s="31" t="n">
        <f aca="false">IF(AH4&lt;Assumptions!$E$7,0,MIN(1,(AH4-Assumptions!$E$7+1)/Assumptions!$E$29))</f>
        <v>1</v>
      </c>
      <c r="AI10" s="31" t="n">
        <f aca="false">IF(AI4&lt;Assumptions!$E$7,0,MIN(1,(AI4-Assumptions!$E$7+1)/Assumptions!$E$29))</f>
        <v>1</v>
      </c>
      <c r="AJ10" s="31" t="n">
        <f aca="false">IF(AJ4&lt;Assumptions!$E$7,0,MIN(1,(AJ4-Assumptions!$E$7+1)/Assumptions!$E$29))</f>
        <v>1</v>
      </c>
      <c r="AK10" s="31" t="n">
        <f aca="false">IF(AK4&lt;Assumptions!$E$7,0,MIN(1,(AK4-Assumptions!$E$7+1)/Assumptions!$E$29))</f>
        <v>1</v>
      </c>
      <c r="AL10" s="31" t="n">
        <f aca="false">IF(AL4&lt;Assumptions!$E$7,0,MIN(1,(AL4-Assumptions!$E$7+1)/Assumptions!$E$29))</f>
        <v>1</v>
      </c>
      <c r="AM10" s="31" t="n">
        <f aca="false">IF(AM4&lt;Assumptions!$E$7,0,MIN(1,(AM4-Assumptions!$E$7+1)/Assumptions!$E$29))</f>
        <v>1</v>
      </c>
      <c r="AN10" s="31" t="n">
        <f aca="false">IF(AN4&lt;Assumptions!$E$7,0,MIN(1,(AN4-Assumptions!$E$7+1)/Assumptions!$E$29))</f>
        <v>1</v>
      </c>
      <c r="AO10" s="31" t="n">
        <f aca="false">IF(AO4&lt;Assumptions!$E$7,0,MIN(1,(AO4-Assumptions!$E$7+1)/Assumptions!$E$29))</f>
        <v>1</v>
      </c>
      <c r="AP10" s="31" t="n">
        <f aca="false">IF(AP4&lt;Assumptions!$E$7,0,MIN(1,(AP4-Assumptions!$E$7+1)/Assumptions!$E$29))</f>
        <v>1</v>
      </c>
      <c r="AQ10" s="31" t="n">
        <f aca="false">IF(AQ4&lt;Assumptions!$E$7,0,MIN(1,(AQ4-Assumptions!$E$7+1)/Assumptions!$E$29))</f>
        <v>1</v>
      </c>
      <c r="AR10" s="31" t="n">
        <f aca="false">IF(AR4&lt;Assumptions!$E$7,0,MIN(1,(AR4-Assumptions!$E$7+1)/Assumptions!$E$29))</f>
        <v>1</v>
      </c>
      <c r="AS10" s="31" t="n">
        <f aca="false">IF(AS4&lt;Assumptions!$E$7,0,MIN(1,(AS4-Assumptions!$E$7+1)/Assumptions!$E$29))</f>
        <v>1</v>
      </c>
      <c r="AT10" s="31" t="n">
        <f aca="false">IF(AT4&lt;Assumptions!$E$7,0,MIN(1,(AT4-Assumptions!$E$7+1)/Assumptions!$E$29))</f>
        <v>1</v>
      </c>
      <c r="AU10" s="31" t="n">
        <f aca="false">IF(AU4&lt;Assumptions!$E$7,0,MIN(1,(AU4-Assumptions!$E$7+1)/Assumptions!$E$29))</f>
        <v>1</v>
      </c>
      <c r="AV10" s="31" t="n">
        <f aca="false">IF(AV4&lt;Assumptions!$E$7,0,MIN(1,(AV4-Assumptions!$E$7+1)/Assumptions!$E$29))</f>
        <v>1</v>
      </c>
      <c r="AW10" s="31" t="n">
        <f aca="false">IF(AW4&lt;Assumptions!$E$7,0,MIN(1,(AW4-Assumptions!$E$7+1)/Assumptions!$E$29))</f>
        <v>1</v>
      </c>
      <c r="AX10" s="31" t="n">
        <f aca="false">IF(AX4&lt;Assumptions!$E$7,0,MIN(1,(AX4-Assumptions!$E$7+1)/Assumptions!$E$29))</f>
        <v>1</v>
      </c>
      <c r="AY10" s="31" t="n">
        <f aca="false">IF(AY4&lt;Assumptions!$E$7,0,MIN(1,(AY4-Assumptions!$E$7+1)/Assumptions!$E$29))</f>
        <v>1</v>
      </c>
      <c r="AZ10" s="31" t="n">
        <f aca="false">IF(AZ4&lt;Assumptions!$E$7,0,MIN(1,(AZ4-Assumptions!$E$7+1)/Assumptions!$E$29))</f>
        <v>1</v>
      </c>
      <c r="BA10" s="31" t="n">
        <f aca="false">IF(BA4&lt;Assumptions!$E$7,0,MIN(1,(BA4-Assumptions!$E$7+1)/Assumptions!$E$29))</f>
        <v>1</v>
      </c>
      <c r="BB10" s="31" t="n">
        <f aca="false">IF(BB4&lt;Assumptions!$E$7,0,MIN(1,(BB4-Assumptions!$E$7+1)/Assumptions!$E$29))</f>
        <v>1</v>
      </c>
      <c r="BC10" s="31" t="n">
        <f aca="false">IF(BC4&lt;Assumptions!$E$7,0,MIN(1,(BC4-Assumptions!$E$7+1)/Assumptions!$E$29))</f>
        <v>1</v>
      </c>
      <c r="BD10" s="31" t="n">
        <f aca="false">IF(BD4&lt;Assumptions!$E$7,0,MIN(1,(BD4-Assumptions!$E$7+1)/Assumptions!$E$29))</f>
        <v>1</v>
      </c>
      <c r="BE10" s="31" t="n">
        <f aca="false">IF(BE4&lt;Assumptions!$E$7,0,MIN(1,(BE4-Assumptions!$E$7+1)/Assumptions!$E$29))</f>
        <v>1</v>
      </c>
      <c r="BF10" s="31" t="n">
        <f aca="false">IF(BF4&lt;Assumptions!$E$7,0,MIN(1,(BF4-Assumptions!$E$7+1)/Assumptions!$E$29))</f>
        <v>1</v>
      </c>
      <c r="BG10" s="31" t="n">
        <f aca="false">IF(BG4&lt;Assumptions!$E$7,0,MIN(1,(BG4-Assumptions!$E$7+1)/Assumptions!$E$29))</f>
        <v>1</v>
      </c>
      <c r="BH10" s="31" t="n">
        <f aca="false">IF(BH4&lt;Assumptions!$E$7,0,MIN(1,(BH4-Assumptions!$E$7+1)/Assumptions!$E$29))</f>
        <v>1</v>
      </c>
      <c r="BI10" s="31" t="n">
        <f aca="false">IF(BI4&lt;Assumptions!$E$7,0,MIN(1,(BI4-Assumptions!$E$7+1)/Assumptions!$E$29))</f>
        <v>1</v>
      </c>
      <c r="BJ10" s="31" t="n">
        <f aca="false">IF(BJ4&lt;Assumptions!$E$7,0,MIN(1,(BJ4-Assumptions!$E$7+1)/Assumptions!$E$29))</f>
        <v>1</v>
      </c>
    </row>
    <row r="11" customFormat="false" ht="15" hidden="false" customHeight="false" outlineLevel="0" collapsed="false">
      <c r="A11" s="5" t="s">
        <v>46</v>
      </c>
      <c r="C11" s="31" t="n">
        <f aca="false">IF(C4&lt;Assumptions!$E$8,0,MIN(1,(C4-Assumptions!$E$8+1)/Assumptions!$E$29))</f>
        <v>0</v>
      </c>
      <c r="D11" s="31" t="n">
        <f aca="false">IF(D4&lt;Assumptions!$E$8,0,MIN(1,(D4-Assumptions!$E$8+1)/Assumptions!$E$29))</f>
        <v>0</v>
      </c>
      <c r="E11" s="31" t="n">
        <f aca="false">IF(E4&lt;Assumptions!$E$8,0,MIN(1,(E4-Assumptions!$E$8+1)/Assumptions!$E$29))</f>
        <v>0</v>
      </c>
      <c r="F11" s="31" t="n">
        <f aca="false">IF(F4&lt;Assumptions!$E$8,0,MIN(1,(F4-Assumptions!$E$8+1)/Assumptions!$E$29))</f>
        <v>0</v>
      </c>
      <c r="G11" s="31" t="n">
        <f aca="false">IF(G4&lt;Assumptions!$E$8,0,MIN(1,(G4-Assumptions!$E$8+1)/Assumptions!$E$29))</f>
        <v>0</v>
      </c>
      <c r="H11" s="31" t="n">
        <f aca="false">IF(H4&lt;Assumptions!$E$8,0,MIN(1,(H4-Assumptions!$E$8+1)/Assumptions!$E$29))</f>
        <v>0</v>
      </c>
      <c r="I11" s="31" t="n">
        <f aca="false">IF(I4&lt;Assumptions!$E$8,0,MIN(1,(I4-Assumptions!$E$8+1)/Assumptions!$E$29))</f>
        <v>0.111111111111111</v>
      </c>
      <c r="J11" s="31" t="n">
        <f aca="false">IF(J4&lt;Assumptions!$E$8,0,MIN(1,(J4-Assumptions!$E$8+1)/Assumptions!$E$29))</f>
        <v>0.222222222222222</v>
      </c>
      <c r="K11" s="31" t="n">
        <f aca="false">IF(K4&lt;Assumptions!$E$8,0,MIN(1,(K4-Assumptions!$E$8+1)/Assumptions!$E$29))</f>
        <v>0.333333333333333</v>
      </c>
      <c r="L11" s="31" t="n">
        <f aca="false">IF(L4&lt;Assumptions!$E$8,0,MIN(1,(L4-Assumptions!$E$8+1)/Assumptions!$E$29))</f>
        <v>0.444444444444444</v>
      </c>
      <c r="M11" s="31" t="n">
        <f aca="false">IF(M4&lt;Assumptions!$E$8,0,MIN(1,(M4-Assumptions!$E$8+1)/Assumptions!$E$29))</f>
        <v>0.555555555555556</v>
      </c>
      <c r="N11" s="31" t="n">
        <f aca="false">IF(N4&lt;Assumptions!$E$8,0,MIN(1,(N4-Assumptions!$E$8+1)/Assumptions!$E$29))</f>
        <v>0.666666666666667</v>
      </c>
      <c r="O11" s="31" t="n">
        <f aca="false">IF(O4&lt;Assumptions!$E$8,0,MIN(1,(O4-Assumptions!$E$8+1)/Assumptions!$E$29))</f>
        <v>0.777777777777778</v>
      </c>
      <c r="P11" s="31" t="n">
        <f aca="false">IF(P4&lt;Assumptions!$E$8,0,MIN(1,(P4-Assumptions!$E$8+1)/Assumptions!$E$29))</f>
        <v>0.888888888888889</v>
      </c>
      <c r="Q11" s="31" t="n">
        <f aca="false">IF(Q4&lt;Assumptions!$E$8,0,MIN(1,(Q4-Assumptions!$E$8+1)/Assumptions!$E$29))</f>
        <v>1</v>
      </c>
      <c r="R11" s="31" t="n">
        <f aca="false">IF(R4&lt;Assumptions!$E$8,0,MIN(1,(R4-Assumptions!$E$8+1)/Assumptions!$E$29))</f>
        <v>1</v>
      </c>
      <c r="S11" s="31" t="n">
        <f aca="false">IF(S4&lt;Assumptions!$E$8,0,MIN(1,(S4-Assumptions!$E$8+1)/Assumptions!$E$29))</f>
        <v>1</v>
      </c>
      <c r="T11" s="31" t="n">
        <f aca="false">IF(T4&lt;Assumptions!$E$8,0,MIN(1,(T4-Assumptions!$E$8+1)/Assumptions!$E$29))</f>
        <v>1</v>
      </c>
      <c r="U11" s="31" t="n">
        <f aca="false">IF(U4&lt;Assumptions!$E$8,0,MIN(1,(U4-Assumptions!$E$8+1)/Assumptions!$E$29))</f>
        <v>1</v>
      </c>
      <c r="V11" s="31" t="n">
        <f aca="false">IF(V4&lt;Assumptions!$E$8,0,MIN(1,(V4-Assumptions!$E$8+1)/Assumptions!$E$29))</f>
        <v>1</v>
      </c>
      <c r="W11" s="31" t="n">
        <f aca="false">IF(W4&lt;Assumptions!$E$8,0,MIN(1,(W4-Assumptions!$E$8+1)/Assumptions!$E$29))</f>
        <v>1</v>
      </c>
      <c r="X11" s="31" t="n">
        <f aca="false">IF(X4&lt;Assumptions!$E$8,0,MIN(1,(X4-Assumptions!$E$8+1)/Assumptions!$E$29))</f>
        <v>1</v>
      </c>
      <c r="Y11" s="31" t="n">
        <f aca="false">IF(Y4&lt;Assumptions!$E$8,0,MIN(1,(Y4-Assumptions!$E$8+1)/Assumptions!$E$29))</f>
        <v>1</v>
      </c>
      <c r="Z11" s="31" t="n">
        <f aca="false">IF(Z4&lt;Assumptions!$E$8,0,MIN(1,(Z4-Assumptions!$E$8+1)/Assumptions!$E$29))</f>
        <v>1</v>
      </c>
      <c r="AA11" s="31" t="n">
        <f aca="false">IF(AA4&lt;Assumptions!$E$8,0,MIN(1,(AA4-Assumptions!$E$8+1)/Assumptions!$E$29))</f>
        <v>1</v>
      </c>
      <c r="AB11" s="31" t="n">
        <f aca="false">IF(AB4&lt;Assumptions!$E$8,0,MIN(1,(AB4-Assumptions!$E$8+1)/Assumptions!$E$29))</f>
        <v>1</v>
      </c>
      <c r="AC11" s="31" t="n">
        <f aca="false">IF(AC4&lt;Assumptions!$E$8,0,MIN(1,(AC4-Assumptions!$E$8+1)/Assumptions!$E$29))</f>
        <v>1</v>
      </c>
      <c r="AD11" s="31" t="n">
        <f aca="false">IF(AD4&lt;Assumptions!$E$8,0,MIN(1,(AD4-Assumptions!$E$8+1)/Assumptions!$E$29))</f>
        <v>1</v>
      </c>
      <c r="AE11" s="31" t="n">
        <f aca="false">IF(AE4&lt;Assumptions!$E$8,0,MIN(1,(AE4-Assumptions!$E$8+1)/Assumptions!$E$29))</f>
        <v>1</v>
      </c>
      <c r="AF11" s="31" t="n">
        <f aca="false">IF(AF4&lt;Assumptions!$E$8,0,MIN(1,(AF4-Assumptions!$E$8+1)/Assumptions!$E$29))</f>
        <v>1</v>
      </c>
      <c r="AG11" s="31" t="n">
        <f aca="false">IF(AG4&lt;Assumptions!$E$8,0,MIN(1,(AG4-Assumptions!$E$8+1)/Assumptions!$E$29))</f>
        <v>1</v>
      </c>
      <c r="AH11" s="31" t="n">
        <f aca="false">IF(AH4&lt;Assumptions!$E$8,0,MIN(1,(AH4-Assumptions!$E$8+1)/Assumptions!$E$29))</f>
        <v>1</v>
      </c>
      <c r="AI11" s="31" t="n">
        <f aca="false">IF(AI4&lt;Assumptions!$E$8,0,MIN(1,(AI4-Assumptions!$E$8+1)/Assumptions!$E$29))</f>
        <v>1</v>
      </c>
      <c r="AJ11" s="31" t="n">
        <f aca="false">IF(AJ4&lt;Assumptions!$E$8,0,MIN(1,(AJ4-Assumptions!$E$8+1)/Assumptions!$E$29))</f>
        <v>1</v>
      </c>
      <c r="AK11" s="31" t="n">
        <f aca="false">IF(AK4&lt;Assumptions!$E$8,0,MIN(1,(AK4-Assumptions!$E$8+1)/Assumptions!$E$29))</f>
        <v>1</v>
      </c>
      <c r="AL11" s="31" t="n">
        <f aca="false">IF(AL4&lt;Assumptions!$E$8,0,MIN(1,(AL4-Assumptions!$E$8+1)/Assumptions!$E$29))</f>
        <v>1</v>
      </c>
      <c r="AM11" s="31" t="n">
        <f aca="false">IF(AM4&lt;Assumptions!$E$8,0,MIN(1,(AM4-Assumptions!$E$8+1)/Assumptions!$E$29))</f>
        <v>1</v>
      </c>
      <c r="AN11" s="31" t="n">
        <f aca="false">IF(AN4&lt;Assumptions!$E$8,0,MIN(1,(AN4-Assumptions!$E$8+1)/Assumptions!$E$29))</f>
        <v>1</v>
      </c>
      <c r="AO11" s="31" t="n">
        <f aca="false">IF(AO4&lt;Assumptions!$E$8,0,MIN(1,(AO4-Assumptions!$E$8+1)/Assumptions!$E$29))</f>
        <v>1</v>
      </c>
      <c r="AP11" s="31" t="n">
        <f aca="false">IF(AP4&lt;Assumptions!$E$8,0,MIN(1,(AP4-Assumptions!$E$8+1)/Assumptions!$E$29))</f>
        <v>1</v>
      </c>
      <c r="AQ11" s="31" t="n">
        <f aca="false">IF(AQ4&lt;Assumptions!$E$8,0,MIN(1,(AQ4-Assumptions!$E$8+1)/Assumptions!$E$29))</f>
        <v>1</v>
      </c>
      <c r="AR11" s="31" t="n">
        <f aca="false">IF(AR4&lt;Assumptions!$E$8,0,MIN(1,(AR4-Assumptions!$E$8+1)/Assumptions!$E$29))</f>
        <v>1</v>
      </c>
      <c r="AS11" s="31" t="n">
        <f aca="false">IF(AS4&lt;Assumptions!$E$8,0,MIN(1,(AS4-Assumptions!$E$8+1)/Assumptions!$E$29))</f>
        <v>1</v>
      </c>
      <c r="AT11" s="31" t="n">
        <f aca="false">IF(AT4&lt;Assumptions!$E$8,0,MIN(1,(AT4-Assumptions!$E$8+1)/Assumptions!$E$29))</f>
        <v>1</v>
      </c>
      <c r="AU11" s="31" t="n">
        <f aca="false">IF(AU4&lt;Assumptions!$E$8,0,MIN(1,(AU4-Assumptions!$E$8+1)/Assumptions!$E$29))</f>
        <v>1</v>
      </c>
      <c r="AV11" s="31" t="n">
        <f aca="false">IF(AV4&lt;Assumptions!$E$8,0,MIN(1,(AV4-Assumptions!$E$8+1)/Assumptions!$E$29))</f>
        <v>1</v>
      </c>
      <c r="AW11" s="31" t="n">
        <f aca="false">IF(AW4&lt;Assumptions!$E$8,0,MIN(1,(AW4-Assumptions!$E$8+1)/Assumptions!$E$29))</f>
        <v>1</v>
      </c>
      <c r="AX11" s="31" t="n">
        <f aca="false">IF(AX4&lt;Assumptions!$E$8,0,MIN(1,(AX4-Assumptions!$E$8+1)/Assumptions!$E$29))</f>
        <v>1</v>
      </c>
      <c r="AY11" s="31" t="n">
        <f aca="false">IF(AY4&lt;Assumptions!$E$8,0,MIN(1,(AY4-Assumptions!$E$8+1)/Assumptions!$E$29))</f>
        <v>1</v>
      </c>
      <c r="AZ11" s="31" t="n">
        <f aca="false">IF(AZ4&lt;Assumptions!$E$8,0,MIN(1,(AZ4-Assumptions!$E$8+1)/Assumptions!$E$29))</f>
        <v>1</v>
      </c>
      <c r="BA11" s="31" t="n">
        <f aca="false">IF(BA4&lt;Assumptions!$E$8,0,MIN(1,(BA4-Assumptions!$E$8+1)/Assumptions!$E$29))</f>
        <v>1</v>
      </c>
      <c r="BB11" s="31" t="n">
        <f aca="false">IF(BB4&lt;Assumptions!$E$8,0,MIN(1,(BB4-Assumptions!$E$8+1)/Assumptions!$E$29))</f>
        <v>1</v>
      </c>
      <c r="BC11" s="31" t="n">
        <f aca="false">IF(BC4&lt;Assumptions!$E$8,0,MIN(1,(BC4-Assumptions!$E$8+1)/Assumptions!$E$29))</f>
        <v>1</v>
      </c>
      <c r="BD11" s="31" t="n">
        <f aca="false">IF(BD4&lt;Assumptions!$E$8,0,MIN(1,(BD4-Assumptions!$E$8+1)/Assumptions!$E$29))</f>
        <v>1</v>
      </c>
      <c r="BE11" s="31" t="n">
        <f aca="false">IF(BE4&lt;Assumptions!$E$8,0,MIN(1,(BE4-Assumptions!$E$8+1)/Assumptions!$E$29))</f>
        <v>1</v>
      </c>
      <c r="BF11" s="31" t="n">
        <f aca="false">IF(BF4&lt;Assumptions!$E$8,0,MIN(1,(BF4-Assumptions!$E$8+1)/Assumptions!$E$29))</f>
        <v>1</v>
      </c>
      <c r="BG11" s="31" t="n">
        <f aca="false">IF(BG4&lt;Assumptions!$E$8,0,MIN(1,(BG4-Assumptions!$E$8+1)/Assumptions!$E$29))</f>
        <v>1</v>
      </c>
      <c r="BH11" s="31" t="n">
        <f aca="false">IF(BH4&lt;Assumptions!$E$8,0,MIN(1,(BH4-Assumptions!$E$8+1)/Assumptions!$E$29))</f>
        <v>1</v>
      </c>
      <c r="BI11" s="31" t="n">
        <f aca="false">IF(BI4&lt;Assumptions!$E$8,0,MIN(1,(BI4-Assumptions!$E$8+1)/Assumptions!$E$29))</f>
        <v>1</v>
      </c>
      <c r="BJ11" s="31" t="n">
        <f aca="false">IF(BJ4&lt;Assumptions!$E$8,0,MIN(1,(BJ4-Assumptions!$E$8+1)/Assumptions!$E$29))</f>
        <v>1</v>
      </c>
    </row>
    <row r="12" customFormat="false" ht="15" hidden="false" customHeight="false" outlineLevel="0" collapsed="false">
      <c r="A12" s="5" t="s">
        <v>48</v>
      </c>
      <c r="C12" s="31" t="n">
        <f aca="false">IF(C4&lt;Assumptions!$E$9,0,MIN(1,(C4-Assumptions!$E$9+1)/Assumptions!$E$29))</f>
        <v>0</v>
      </c>
      <c r="D12" s="31" t="n">
        <f aca="false">IF(D4&lt;Assumptions!$E$9,0,MIN(1,(D4-Assumptions!$E$9+1)/Assumptions!$E$29))</f>
        <v>0</v>
      </c>
      <c r="E12" s="31" t="n">
        <f aca="false">IF(E4&lt;Assumptions!$E$9,0,MIN(1,(E4-Assumptions!$E$9+1)/Assumptions!$E$29))</f>
        <v>0</v>
      </c>
      <c r="F12" s="31" t="n">
        <f aca="false">IF(F4&lt;Assumptions!$E$9,0,MIN(1,(F4-Assumptions!$E$9+1)/Assumptions!$E$29))</f>
        <v>0</v>
      </c>
      <c r="G12" s="31" t="n">
        <f aca="false">IF(G4&lt;Assumptions!$E$9,0,MIN(1,(G4-Assumptions!$E$9+1)/Assumptions!$E$29))</f>
        <v>0</v>
      </c>
      <c r="H12" s="31" t="n">
        <f aca="false">IF(H4&lt;Assumptions!$E$9,0,MIN(1,(H4-Assumptions!$E$9+1)/Assumptions!$E$29))</f>
        <v>0</v>
      </c>
      <c r="I12" s="31" t="n">
        <f aca="false">IF(I4&lt;Assumptions!$E$9,0,MIN(1,(I4-Assumptions!$E$9+1)/Assumptions!$E$29))</f>
        <v>0</v>
      </c>
      <c r="J12" s="31" t="n">
        <f aca="false">IF(J4&lt;Assumptions!$E$9,0,MIN(1,(J4-Assumptions!$E$9+1)/Assumptions!$E$29))</f>
        <v>0</v>
      </c>
      <c r="K12" s="31" t="n">
        <f aca="false">IF(K4&lt;Assumptions!$E$9,0,MIN(1,(K4-Assumptions!$E$9+1)/Assumptions!$E$29))</f>
        <v>0</v>
      </c>
      <c r="L12" s="31" t="n">
        <f aca="false">IF(L4&lt;Assumptions!$E$9,0,MIN(1,(L4-Assumptions!$E$9+1)/Assumptions!$E$29))</f>
        <v>0</v>
      </c>
      <c r="M12" s="31" t="n">
        <f aca="false">IF(M4&lt;Assumptions!$E$9,0,MIN(1,(M4-Assumptions!$E$9+1)/Assumptions!$E$29))</f>
        <v>0</v>
      </c>
      <c r="N12" s="31" t="n">
        <f aca="false">IF(N4&lt;Assumptions!$E$9,0,MIN(1,(N4-Assumptions!$E$9+1)/Assumptions!$E$29))</f>
        <v>0</v>
      </c>
      <c r="O12" s="31" t="n">
        <f aca="false">IF(O4&lt;Assumptions!$E$9,0,MIN(1,(O4-Assumptions!$E$9+1)/Assumptions!$E$29))</f>
        <v>0</v>
      </c>
      <c r="P12" s="31" t="n">
        <f aca="false">IF(P4&lt;Assumptions!$E$9,0,MIN(1,(P4-Assumptions!$E$9+1)/Assumptions!$E$29))</f>
        <v>0</v>
      </c>
      <c r="Q12" s="31" t="n">
        <f aca="false">IF(Q4&lt;Assumptions!$E$9,0,MIN(1,(Q4-Assumptions!$E$9+1)/Assumptions!$E$29))</f>
        <v>0</v>
      </c>
      <c r="R12" s="31" t="n">
        <f aca="false">IF(R4&lt;Assumptions!$E$9,0,MIN(1,(R4-Assumptions!$E$9+1)/Assumptions!$E$29))</f>
        <v>0</v>
      </c>
      <c r="S12" s="31" t="n">
        <f aca="false">IF(S4&lt;Assumptions!$E$9,0,MIN(1,(S4-Assumptions!$E$9+1)/Assumptions!$E$29))</f>
        <v>0</v>
      </c>
      <c r="T12" s="31" t="n">
        <f aca="false">IF(T4&lt;Assumptions!$E$9,0,MIN(1,(T4-Assumptions!$E$9+1)/Assumptions!$E$29))</f>
        <v>0</v>
      </c>
      <c r="U12" s="31" t="n">
        <f aca="false">IF(U4&lt;Assumptions!$E$9,0,MIN(1,(U4-Assumptions!$E$9+1)/Assumptions!$E$29))</f>
        <v>0.111111111111111</v>
      </c>
      <c r="V12" s="31" t="n">
        <f aca="false">IF(V4&lt;Assumptions!$E$9,0,MIN(1,(V4-Assumptions!$E$9+1)/Assumptions!$E$29))</f>
        <v>0.222222222222222</v>
      </c>
      <c r="W12" s="31" t="n">
        <f aca="false">IF(W4&lt;Assumptions!$E$9,0,MIN(1,(W4-Assumptions!$E$9+1)/Assumptions!$E$29))</f>
        <v>0.333333333333333</v>
      </c>
      <c r="X12" s="31" t="n">
        <f aca="false">IF(X4&lt;Assumptions!$E$9,0,MIN(1,(X4-Assumptions!$E$9+1)/Assumptions!$E$29))</f>
        <v>0.444444444444444</v>
      </c>
      <c r="Y12" s="31" t="n">
        <f aca="false">IF(Y4&lt;Assumptions!$E$9,0,MIN(1,(Y4-Assumptions!$E$9+1)/Assumptions!$E$29))</f>
        <v>0.555555555555556</v>
      </c>
      <c r="Z12" s="31" t="n">
        <f aca="false">IF(Z4&lt;Assumptions!$E$9,0,MIN(1,(Z4-Assumptions!$E$9+1)/Assumptions!$E$29))</f>
        <v>0.666666666666667</v>
      </c>
      <c r="AA12" s="31" t="n">
        <f aca="false">IF(AA4&lt;Assumptions!$E$9,0,MIN(1,(AA4-Assumptions!$E$9+1)/Assumptions!$E$29))</f>
        <v>0.777777777777778</v>
      </c>
      <c r="AB12" s="31" t="n">
        <f aca="false">IF(AB4&lt;Assumptions!$E$9,0,MIN(1,(AB4-Assumptions!$E$9+1)/Assumptions!$E$29))</f>
        <v>0.888888888888889</v>
      </c>
      <c r="AC12" s="31" t="n">
        <f aca="false">IF(AC4&lt;Assumptions!$E$9,0,MIN(1,(AC4-Assumptions!$E$9+1)/Assumptions!$E$29))</f>
        <v>1</v>
      </c>
      <c r="AD12" s="31" t="n">
        <f aca="false">IF(AD4&lt;Assumptions!$E$9,0,MIN(1,(AD4-Assumptions!$E$9+1)/Assumptions!$E$29))</f>
        <v>1</v>
      </c>
      <c r="AE12" s="31" t="n">
        <f aca="false">IF(AE4&lt;Assumptions!$E$9,0,MIN(1,(AE4-Assumptions!$E$9+1)/Assumptions!$E$29))</f>
        <v>1</v>
      </c>
      <c r="AF12" s="31" t="n">
        <f aca="false">IF(AF4&lt;Assumptions!$E$9,0,MIN(1,(AF4-Assumptions!$E$9+1)/Assumptions!$E$29))</f>
        <v>1</v>
      </c>
      <c r="AG12" s="31" t="n">
        <f aca="false">IF(AG4&lt;Assumptions!$E$9,0,MIN(1,(AG4-Assumptions!$E$9+1)/Assumptions!$E$29))</f>
        <v>1</v>
      </c>
      <c r="AH12" s="31" t="n">
        <f aca="false">IF(AH4&lt;Assumptions!$E$9,0,MIN(1,(AH4-Assumptions!$E$9+1)/Assumptions!$E$29))</f>
        <v>1</v>
      </c>
      <c r="AI12" s="31" t="n">
        <f aca="false">IF(AI4&lt;Assumptions!$E$9,0,MIN(1,(AI4-Assumptions!$E$9+1)/Assumptions!$E$29))</f>
        <v>1</v>
      </c>
      <c r="AJ12" s="31" t="n">
        <f aca="false">IF(AJ4&lt;Assumptions!$E$9,0,MIN(1,(AJ4-Assumptions!$E$9+1)/Assumptions!$E$29))</f>
        <v>1</v>
      </c>
      <c r="AK12" s="31" t="n">
        <f aca="false">IF(AK4&lt;Assumptions!$E$9,0,MIN(1,(AK4-Assumptions!$E$9+1)/Assumptions!$E$29))</f>
        <v>1</v>
      </c>
      <c r="AL12" s="31" t="n">
        <f aca="false">IF(AL4&lt;Assumptions!$E$9,0,MIN(1,(AL4-Assumptions!$E$9+1)/Assumptions!$E$29))</f>
        <v>1</v>
      </c>
      <c r="AM12" s="31" t="n">
        <f aca="false">IF(AM4&lt;Assumptions!$E$9,0,MIN(1,(AM4-Assumptions!$E$9+1)/Assumptions!$E$29))</f>
        <v>1</v>
      </c>
      <c r="AN12" s="31" t="n">
        <f aca="false">IF(AN4&lt;Assumptions!$E$9,0,MIN(1,(AN4-Assumptions!$E$9+1)/Assumptions!$E$29))</f>
        <v>1</v>
      </c>
      <c r="AO12" s="31" t="n">
        <f aca="false">IF(AO4&lt;Assumptions!$E$9,0,MIN(1,(AO4-Assumptions!$E$9+1)/Assumptions!$E$29))</f>
        <v>1</v>
      </c>
      <c r="AP12" s="31" t="n">
        <f aca="false">IF(AP4&lt;Assumptions!$E$9,0,MIN(1,(AP4-Assumptions!$E$9+1)/Assumptions!$E$29))</f>
        <v>1</v>
      </c>
      <c r="AQ12" s="31" t="n">
        <f aca="false">IF(AQ4&lt;Assumptions!$E$9,0,MIN(1,(AQ4-Assumptions!$E$9+1)/Assumptions!$E$29))</f>
        <v>1</v>
      </c>
      <c r="AR12" s="31" t="n">
        <f aca="false">IF(AR4&lt;Assumptions!$E$9,0,MIN(1,(AR4-Assumptions!$E$9+1)/Assumptions!$E$29))</f>
        <v>1</v>
      </c>
      <c r="AS12" s="31" t="n">
        <f aca="false">IF(AS4&lt;Assumptions!$E$9,0,MIN(1,(AS4-Assumptions!$E$9+1)/Assumptions!$E$29))</f>
        <v>1</v>
      </c>
      <c r="AT12" s="31" t="n">
        <f aca="false">IF(AT4&lt;Assumptions!$E$9,0,MIN(1,(AT4-Assumptions!$E$9+1)/Assumptions!$E$29))</f>
        <v>1</v>
      </c>
      <c r="AU12" s="31" t="n">
        <f aca="false">IF(AU4&lt;Assumptions!$E$9,0,MIN(1,(AU4-Assumptions!$E$9+1)/Assumptions!$E$29))</f>
        <v>1</v>
      </c>
      <c r="AV12" s="31" t="n">
        <f aca="false">IF(AV4&lt;Assumptions!$E$9,0,MIN(1,(AV4-Assumptions!$E$9+1)/Assumptions!$E$29))</f>
        <v>1</v>
      </c>
      <c r="AW12" s="31" t="n">
        <f aca="false">IF(AW4&lt;Assumptions!$E$9,0,MIN(1,(AW4-Assumptions!$E$9+1)/Assumptions!$E$29))</f>
        <v>1</v>
      </c>
      <c r="AX12" s="31" t="n">
        <f aca="false">IF(AX4&lt;Assumptions!$E$9,0,MIN(1,(AX4-Assumptions!$E$9+1)/Assumptions!$E$29))</f>
        <v>1</v>
      </c>
      <c r="AY12" s="31" t="n">
        <f aca="false">IF(AY4&lt;Assumptions!$E$9,0,MIN(1,(AY4-Assumptions!$E$9+1)/Assumptions!$E$29))</f>
        <v>1</v>
      </c>
      <c r="AZ12" s="31" t="n">
        <f aca="false">IF(AZ4&lt;Assumptions!$E$9,0,MIN(1,(AZ4-Assumptions!$E$9+1)/Assumptions!$E$29))</f>
        <v>1</v>
      </c>
      <c r="BA12" s="31" t="n">
        <f aca="false">IF(BA4&lt;Assumptions!$E$9,0,MIN(1,(BA4-Assumptions!$E$9+1)/Assumptions!$E$29))</f>
        <v>1</v>
      </c>
      <c r="BB12" s="31" t="n">
        <f aca="false">IF(BB4&lt;Assumptions!$E$9,0,MIN(1,(BB4-Assumptions!$E$9+1)/Assumptions!$E$29))</f>
        <v>1</v>
      </c>
      <c r="BC12" s="31" t="n">
        <f aca="false">IF(BC4&lt;Assumptions!$E$9,0,MIN(1,(BC4-Assumptions!$E$9+1)/Assumptions!$E$29))</f>
        <v>1</v>
      </c>
      <c r="BD12" s="31" t="n">
        <f aca="false">IF(BD4&lt;Assumptions!$E$9,0,MIN(1,(BD4-Assumptions!$E$9+1)/Assumptions!$E$29))</f>
        <v>1</v>
      </c>
      <c r="BE12" s="31" t="n">
        <f aca="false">IF(BE4&lt;Assumptions!$E$9,0,MIN(1,(BE4-Assumptions!$E$9+1)/Assumptions!$E$29))</f>
        <v>1</v>
      </c>
      <c r="BF12" s="31" t="n">
        <f aca="false">IF(BF4&lt;Assumptions!$E$9,0,MIN(1,(BF4-Assumptions!$E$9+1)/Assumptions!$E$29))</f>
        <v>1</v>
      </c>
      <c r="BG12" s="31" t="n">
        <f aca="false">IF(BG4&lt;Assumptions!$E$9,0,MIN(1,(BG4-Assumptions!$E$9+1)/Assumptions!$E$29))</f>
        <v>1</v>
      </c>
      <c r="BH12" s="31" t="n">
        <f aca="false">IF(BH4&lt;Assumptions!$E$9,0,MIN(1,(BH4-Assumptions!$E$9+1)/Assumptions!$E$29))</f>
        <v>1</v>
      </c>
      <c r="BI12" s="31" t="n">
        <f aca="false">IF(BI4&lt;Assumptions!$E$9,0,MIN(1,(BI4-Assumptions!$E$9+1)/Assumptions!$E$29))</f>
        <v>1</v>
      </c>
      <c r="BJ12" s="31" t="n">
        <f aca="false">IF(BJ4&lt;Assumptions!$E$9,0,MIN(1,(BJ4-Assumptions!$E$9+1)/Assumptions!$E$29))</f>
        <v>1</v>
      </c>
    </row>
    <row r="13" customFormat="false" ht="15" hidden="false" customHeight="false" outlineLevel="0" collapsed="false">
      <c r="A13" s="5" t="s">
        <v>50</v>
      </c>
      <c r="C13" s="31" t="n">
        <f aca="false">IF(C4&lt;Assumptions!$E$10,0,MIN(1,(C4-Assumptions!$E$10+1)/Assumptions!$E$29))</f>
        <v>0</v>
      </c>
      <c r="D13" s="31" t="n">
        <f aca="false">IF(D4&lt;Assumptions!$E$10,0,MIN(1,(D4-Assumptions!$E$10+1)/Assumptions!$E$29))</f>
        <v>0</v>
      </c>
      <c r="E13" s="31" t="n">
        <f aca="false">IF(E4&lt;Assumptions!$E$10,0,MIN(1,(E4-Assumptions!$E$10+1)/Assumptions!$E$29))</f>
        <v>0</v>
      </c>
      <c r="F13" s="31" t="n">
        <f aca="false">IF(F4&lt;Assumptions!$E$10,0,MIN(1,(F4-Assumptions!$E$10+1)/Assumptions!$E$29))</f>
        <v>0</v>
      </c>
      <c r="G13" s="31" t="n">
        <f aca="false">IF(G4&lt;Assumptions!$E$10,0,MIN(1,(G4-Assumptions!$E$10+1)/Assumptions!$E$29))</f>
        <v>0</v>
      </c>
      <c r="H13" s="31" t="n">
        <f aca="false">IF(H4&lt;Assumptions!$E$10,0,MIN(1,(H4-Assumptions!$E$10+1)/Assumptions!$E$29))</f>
        <v>0</v>
      </c>
      <c r="I13" s="31" t="n">
        <f aca="false">IF(I4&lt;Assumptions!$E$10,0,MIN(1,(I4-Assumptions!$E$10+1)/Assumptions!$E$29))</f>
        <v>0</v>
      </c>
      <c r="J13" s="31" t="n">
        <f aca="false">IF(J4&lt;Assumptions!$E$10,0,MIN(1,(J4-Assumptions!$E$10+1)/Assumptions!$E$29))</f>
        <v>0</v>
      </c>
      <c r="K13" s="31" t="n">
        <f aca="false">IF(K4&lt;Assumptions!$E$10,0,MIN(1,(K4-Assumptions!$E$10+1)/Assumptions!$E$29))</f>
        <v>0</v>
      </c>
      <c r="L13" s="31" t="n">
        <f aca="false">IF(L4&lt;Assumptions!$E$10,0,MIN(1,(L4-Assumptions!$E$10+1)/Assumptions!$E$29))</f>
        <v>0</v>
      </c>
      <c r="M13" s="31" t="n">
        <f aca="false">IF(M4&lt;Assumptions!$E$10,0,MIN(1,(M4-Assumptions!$E$10+1)/Assumptions!$E$29))</f>
        <v>0</v>
      </c>
      <c r="N13" s="31" t="n">
        <f aca="false">IF(N4&lt;Assumptions!$E$10,0,MIN(1,(N4-Assumptions!$E$10+1)/Assumptions!$E$29))</f>
        <v>0</v>
      </c>
      <c r="O13" s="31" t="n">
        <f aca="false">IF(O4&lt;Assumptions!$E$10,0,MIN(1,(O4-Assumptions!$E$10+1)/Assumptions!$E$29))</f>
        <v>0</v>
      </c>
      <c r="P13" s="31" t="n">
        <f aca="false">IF(P4&lt;Assumptions!$E$10,0,MIN(1,(P4-Assumptions!$E$10+1)/Assumptions!$E$29))</f>
        <v>0</v>
      </c>
      <c r="Q13" s="31" t="n">
        <f aca="false">IF(Q4&lt;Assumptions!$E$10,0,MIN(1,(Q4-Assumptions!$E$10+1)/Assumptions!$E$29))</f>
        <v>0</v>
      </c>
      <c r="R13" s="31" t="n">
        <f aca="false">IF(R4&lt;Assumptions!$E$10,0,MIN(1,(R4-Assumptions!$E$10+1)/Assumptions!$E$29))</f>
        <v>0</v>
      </c>
      <c r="S13" s="31" t="n">
        <f aca="false">IF(S4&lt;Assumptions!$E$10,0,MIN(1,(S4-Assumptions!$E$10+1)/Assumptions!$E$29))</f>
        <v>0</v>
      </c>
      <c r="T13" s="31" t="n">
        <f aca="false">IF(T4&lt;Assumptions!$E$10,0,MIN(1,(T4-Assumptions!$E$10+1)/Assumptions!$E$29))</f>
        <v>0</v>
      </c>
      <c r="U13" s="31" t="n">
        <f aca="false">IF(U4&lt;Assumptions!$E$10,0,MIN(1,(U4-Assumptions!$E$10+1)/Assumptions!$E$29))</f>
        <v>0.111111111111111</v>
      </c>
      <c r="V13" s="31" t="n">
        <f aca="false">IF(V4&lt;Assumptions!$E$10,0,MIN(1,(V4-Assumptions!$E$10+1)/Assumptions!$E$29))</f>
        <v>0.222222222222222</v>
      </c>
      <c r="W13" s="31" t="n">
        <f aca="false">IF(W4&lt;Assumptions!$E$10,0,MIN(1,(W4-Assumptions!$E$10+1)/Assumptions!$E$29))</f>
        <v>0.333333333333333</v>
      </c>
      <c r="X13" s="31" t="n">
        <f aca="false">IF(X4&lt;Assumptions!$E$10,0,MIN(1,(X4-Assumptions!$E$10+1)/Assumptions!$E$29))</f>
        <v>0.444444444444444</v>
      </c>
      <c r="Y13" s="31" t="n">
        <f aca="false">IF(Y4&lt;Assumptions!$E$10,0,MIN(1,(Y4-Assumptions!$E$10+1)/Assumptions!$E$29))</f>
        <v>0.555555555555556</v>
      </c>
      <c r="Z13" s="31" t="n">
        <f aca="false">IF(Z4&lt;Assumptions!$E$10,0,MIN(1,(Z4-Assumptions!$E$10+1)/Assumptions!$E$29))</f>
        <v>0.666666666666667</v>
      </c>
      <c r="AA13" s="31" t="n">
        <f aca="false">IF(AA4&lt;Assumptions!$E$10,0,MIN(1,(AA4-Assumptions!$E$10+1)/Assumptions!$E$29))</f>
        <v>0.777777777777778</v>
      </c>
      <c r="AB13" s="31" t="n">
        <f aca="false">IF(AB4&lt;Assumptions!$E$10,0,MIN(1,(AB4-Assumptions!$E$10+1)/Assumptions!$E$29))</f>
        <v>0.888888888888889</v>
      </c>
      <c r="AC13" s="31" t="n">
        <f aca="false">IF(AC4&lt;Assumptions!$E$10,0,MIN(1,(AC4-Assumptions!$E$10+1)/Assumptions!$E$29))</f>
        <v>1</v>
      </c>
      <c r="AD13" s="31" t="n">
        <f aca="false">IF(AD4&lt;Assumptions!$E$10,0,MIN(1,(AD4-Assumptions!$E$10+1)/Assumptions!$E$29))</f>
        <v>1</v>
      </c>
      <c r="AE13" s="31" t="n">
        <f aca="false">IF(AE4&lt;Assumptions!$E$10,0,MIN(1,(AE4-Assumptions!$E$10+1)/Assumptions!$E$29))</f>
        <v>1</v>
      </c>
      <c r="AF13" s="31" t="n">
        <f aca="false">IF(AF4&lt;Assumptions!$E$10,0,MIN(1,(AF4-Assumptions!$E$10+1)/Assumptions!$E$29))</f>
        <v>1</v>
      </c>
      <c r="AG13" s="31" t="n">
        <f aca="false">IF(AG4&lt;Assumptions!$E$10,0,MIN(1,(AG4-Assumptions!$E$10+1)/Assumptions!$E$29))</f>
        <v>1</v>
      </c>
      <c r="AH13" s="31" t="n">
        <f aca="false">IF(AH4&lt;Assumptions!$E$10,0,MIN(1,(AH4-Assumptions!$E$10+1)/Assumptions!$E$29))</f>
        <v>1</v>
      </c>
      <c r="AI13" s="31" t="n">
        <f aca="false">IF(AI4&lt;Assumptions!$E$10,0,MIN(1,(AI4-Assumptions!$E$10+1)/Assumptions!$E$29))</f>
        <v>1</v>
      </c>
      <c r="AJ13" s="31" t="n">
        <f aca="false">IF(AJ4&lt;Assumptions!$E$10,0,MIN(1,(AJ4-Assumptions!$E$10+1)/Assumptions!$E$29))</f>
        <v>1</v>
      </c>
      <c r="AK13" s="31" t="n">
        <f aca="false">IF(AK4&lt;Assumptions!$E$10,0,MIN(1,(AK4-Assumptions!$E$10+1)/Assumptions!$E$29))</f>
        <v>1</v>
      </c>
      <c r="AL13" s="31" t="n">
        <f aca="false">IF(AL4&lt;Assumptions!$E$10,0,MIN(1,(AL4-Assumptions!$E$10+1)/Assumptions!$E$29))</f>
        <v>1</v>
      </c>
      <c r="AM13" s="31" t="n">
        <f aca="false">IF(AM4&lt;Assumptions!$E$10,0,MIN(1,(AM4-Assumptions!$E$10+1)/Assumptions!$E$29))</f>
        <v>1</v>
      </c>
      <c r="AN13" s="31" t="n">
        <f aca="false">IF(AN4&lt;Assumptions!$E$10,0,MIN(1,(AN4-Assumptions!$E$10+1)/Assumptions!$E$29))</f>
        <v>1</v>
      </c>
      <c r="AO13" s="31" t="n">
        <f aca="false">IF(AO4&lt;Assumptions!$E$10,0,MIN(1,(AO4-Assumptions!$E$10+1)/Assumptions!$E$29))</f>
        <v>1</v>
      </c>
      <c r="AP13" s="31" t="n">
        <f aca="false">IF(AP4&lt;Assumptions!$E$10,0,MIN(1,(AP4-Assumptions!$E$10+1)/Assumptions!$E$29))</f>
        <v>1</v>
      </c>
      <c r="AQ13" s="31" t="n">
        <f aca="false">IF(AQ4&lt;Assumptions!$E$10,0,MIN(1,(AQ4-Assumptions!$E$10+1)/Assumptions!$E$29))</f>
        <v>1</v>
      </c>
      <c r="AR13" s="31" t="n">
        <f aca="false">IF(AR4&lt;Assumptions!$E$10,0,MIN(1,(AR4-Assumptions!$E$10+1)/Assumptions!$E$29))</f>
        <v>1</v>
      </c>
      <c r="AS13" s="31" t="n">
        <f aca="false">IF(AS4&lt;Assumptions!$E$10,0,MIN(1,(AS4-Assumptions!$E$10+1)/Assumptions!$E$29))</f>
        <v>1</v>
      </c>
      <c r="AT13" s="31" t="n">
        <f aca="false">IF(AT4&lt;Assumptions!$E$10,0,MIN(1,(AT4-Assumptions!$E$10+1)/Assumptions!$E$29))</f>
        <v>1</v>
      </c>
      <c r="AU13" s="31" t="n">
        <f aca="false">IF(AU4&lt;Assumptions!$E$10,0,MIN(1,(AU4-Assumptions!$E$10+1)/Assumptions!$E$29))</f>
        <v>1</v>
      </c>
      <c r="AV13" s="31" t="n">
        <f aca="false">IF(AV4&lt;Assumptions!$E$10,0,MIN(1,(AV4-Assumptions!$E$10+1)/Assumptions!$E$29))</f>
        <v>1</v>
      </c>
      <c r="AW13" s="31" t="n">
        <f aca="false">IF(AW4&lt;Assumptions!$E$10,0,MIN(1,(AW4-Assumptions!$E$10+1)/Assumptions!$E$29))</f>
        <v>1</v>
      </c>
      <c r="AX13" s="31" t="n">
        <f aca="false">IF(AX4&lt;Assumptions!$E$10,0,MIN(1,(AX4-Assumptions!$E$10+1)/Assumptions!$E$29))</f>
        <v>1</v>
      </c>
      <c r="AY13" s="31" t="n">
        <f aca="false">IF(AY4&lt;Assumptions!$E$10,0,MIN(1,(AY4-Assumptions!$E$10+1)/Assumptions!$E$29))</f>
        <v>1</v>
      </c>
      <c r="AZ13" s="31" t="n">
        <f aca="false">IF(AZ4&lt;Assumptions!$E$10,0,MIN(1,(AZ4-Assumptions!$E$10+1)/Assumptions!$E$29))</f>
        <v>1</v>
      </c>
      <c r="BA13" s="31" t="n">
        <f aca="false">IF(BA4&lt;Assumptions!$E$10,0,MIN(1,(BA4-Assumptions!$E$10+1)/Assumptions!$E$29))</f>
        <v>1</v>
      </c>
      <c r="BB13" s="31" t="n">
        <f aca="false">IF(BB4&lt;Assumptions!$E$10,0,MIN(1,(BB4-Assumptions!$E$10+1)/Assumptions!$E$29))</f>
        <v>1</v>
      </c>
      <c r="BC13" s="31" t="n">
        <f aca="false">IF(BC4&lt;Assumptions!$E$10,0,MIN(1,(BC4-Assumptions!$E$10+1)/Assumptions!$E$29))</f>
        <v>1</v>
      </c>
      <c r="BD13" s="31" t="n">
        <f aca="false">IF(BD4&lt;Assumptions!$E$10,0,MIN(1,(BD4-Assumptions!$E$10+1)/Assumptions!$E$29))</f>
        <v>1</v>
      </c>
      <c r="BE13" s="31" t="n">
        <f aca="false">IF(BE4&lt;Assumptions!$E$10,0,MIN(1,(BE4-Assumptions!$E$10+1)/Assumptions!$E$29))</f>
        <v>1</v>
      </c>
      <c r="BF13" s="31" t="n">
        <f aca="false">IF(BF4&lt;Assumptions!$E$10,0,MIN(1,(BF4-Assumptions!$E$10+1)/Assumptions!$E$29))</f>
        <v>1</v>
      </c>
      <c r="BG13" s="31" t="n">
        <f aca="false">IF(BG4&lt;Assumptions!$E$10,0,MIN(1,(BG4-Assumptions!$E$10+1)/Assumptions!$E$29))</f>
        <v>1</v>
      </c>
      <c r="BH13" s="31" t="n">
        <f aca="false">IF(BH4&lt;Assumptions!$E$10,0,MIN(1,(BH4-Assumptions!$E$10+1)/Assumptions!$E$29))</f>
        <v>1</v>
      </c>
      <c r="BI13" s="31" t="n">
        <f aca="false">IF(BI4&lt;Assumptions!$E$10,0,MIN(1,(BI4-Assumptions!$E$10+1)/Assumptions!$E$29))</f>
        <v>1</v>
      </c>
      <c r="BJ13" s="31" t="n">
        <f aca="false">IF(BJ4&lt;Assumptions!$E$10,0,MIN(1,(BJ4-Assumptions!$E$10+1)/Assumptions!$E$29))</f>
        <v>1</v>
      </c>
    </row>
    <row r="15" customFormat="false" ht="15" hidden="false" customHeight="false" outlineLevel="0" collapsed="false">
      <c r="A15" s="10" t="s">
        <v>118</v>
      </c>
    </row>
    <row r="16" customFormat="false" ht="15" hidden="false" customHeight="false" outlineLevel="0" collapsed="false">
      <c r="A16" s="5" t="s">
        <v>42</v>
      </c>
      <c r="C16" s="32" t="n">
        <f aca="false">Assumptions!$D$6*Assumptions!$H$6*C9</f>
        <v>4.11046222222222</v>
      </c>
      <c r="D16" s="32" t="n">
        <f aca="false">Assumptions!$D$6*Assumptions!$H$6*D9</f>
        <v>8.22092444444444</v>
      </c>
      <c r="E16" s="32" t="n">
        <f aca="false">Assumptions!$D$6*Assumptions!$H$6*E9</f>
        <v>12.3313866666667</v>
      </c>
      <c r="F16" s="32" t="n">
        <f aca="false">Assumptions!$D$6*Assumptions!$H$6*F9</f>
        <v>16.4418488888889</v>
      </c>
      <c r="G16" s="32" t="n">
        <f aca="false">Assumptions!$D$6*Assumptions!$H$6*G9</f>
        <v>20.5523111111111</v>
      </c>
      <c r="H16" s="32" t="n">
        <f aca="false">Assumptions!$D$6*Assumptions!$H$6*H9</f>
        <v>24.6627733333333</v>
      </c>
      <c r="I16" s="32" t="n">
        <f aca="false">Assumptions!$D$6*Assumptions!$H$6*I9</f>
        <v>28.7732355555556</v>
      </c>
      <c r="J16" s="32" t="n">
        <f aca="false">Assumptions!$D$6*Assumptions!$H$6*J9</f>
        <v>32.8836977777778</v>
      </c>
      <c r="K16" s="32" t="n">
        <f aca="false">Assumptions!$D$6*Assumptions!$H$6*K9</f>
        <v>36.99416</v>
      </c>
      <c r="L16" s="32" t="n">
        <f aca="false">Assumptions!$D$6*Assumptions!$H$6*L9</f>
        <v>36.99416</v>
      </c>
      <c r="M16" s="32" t="n">
        <f aca="false">Assumptions!$D$6*Assumptions!$H$6*M9</f>
        <v>36.99416</v>
      </c>
      <c r="N16" s="32" t="n">
        <f aca="false">Assumptions!$D$6*Assumptions!$H$6*N9</f>
        <v>36.99416</v>
      </c>
      <c r="O16" s="32" t="n">
        <f aca="false">Assumptions!$D$6*Assumptions!$H$6*O9</f>
        <v>36.99416</v>
      </c>
      <c r="P16" s="32" t="n">
        <f aca="false">Assumptions!$D$6*Assumptions!$H$6*P9</f>
        <v>36.99416</v>
      </c>
      <c r="Q16" s="32" t="n">
        <f aca="false">Assumptions!$D$6*Assumptions!$H$6*Q9</f>
        <v>36.99416</v>
      </c>
      <c r="R16" s="32" t="n">
        <f aca="false">Assumptions!$D$6*Assumptions!$H$6*R9</f>
        <v>36.99416</v>
      </c>
      <c r="S16" s="32" t="n">
        <f aca="false">Assumptions!$D$6*Assumptions!$H$6*S9</f>
        <v>36.99416</v>
      </c>
      <c r="T16" s="32" t="n">
        <f aca="false">Assumptions!$D$6*Assumptions!$H$6*T9</f>
        <v>36.99416</v>
      </c>
      <c r="U16" s="32" t="n">
        <f aca="false">Assumptions!$D$6*Assumptions!$H$6*U9</f>
        <v>36.99416</v>
      </c>
      <c r="V16" s="32" t="n">
        <f aca="false">Assumptions!$D$6*Assumptions!$H$6*V9</f>
        <v>36.99416</v>
      </c>
      <c r="W16" s="32" t="n">
        <f aca="false">Assumptions!$D$6*Assumptions!$H$6*W9</f>
        <v>36.99416</v>
      </c>
      <c r="X16" s="32" t="n">
        <f aca="false">Assumptions!$D$6*Assumptions!$H$6*X9</f>
        <v>36.99416</v>
      </c>
      <c r="Y16" s="32" t="n">
        <f aca="false">Assumptions!$D$6*Assumptions!$H$6*Y9</f>
        <v>36.99416</v>
      </c>
      <c r="Z16" s="32" t="n">
        <f aca="false">Assumptions!$D$6*Assumptions!$H$6*Z9</f>
        <v>36.99416</v>
      </c>
      <c r="AA16" s="32" t="n">
        <f aca="false">Assumptions!$D$6*Assumptions!$H$6*AA9</f>
        <v>36.99416</v>
      </c>
      <c r="AB16" s="32" t="n">
        <f aca="false">Assumptions!$D$6*Assumptions!$H$6*AB9</f>
        <v>36.99416</v>
      </c>
      <c r="AC16" s="32" t="n">
        <f aca="false">Assumptions!$D$6*Assumptions!$H$6*AC9</f>
        <v>36.99416</v>
      </c>
      <c r="AD16" s="32" t="n">
        <f aca="false">Assumptions!$D$6*Assumptions!$H$6*AD9</f>
        <v>36.99416</v>
      </c>
      <c r="AE16" s="32" t="n">
        <f aca="false">Assumptions!$D$6*Assumptions!$H$6*AE9</f>
        <v>36.99416</v>
      </c>
      <c r="AF16" s="32" t="n">
        <f aca="false">Assumptions!$D$6*Assumptions!$H$6*AF9</f>
        <v>36.99416</v>
      </c>
      <c r="AG16" s="32" t="n">
        <f aca="false">Assumptions!$D$6*Assumptions!$H$6*AG9</f>
        <v>36.99416</v>
      </c>
      <c r="AH16" s="32" t="n">
        <f aca="false">Assumptions!$D$6*Assumptions!$H$6*AH9</f>
        <v>36.99416</v>
      </c>
      <c r="AI16" s="32" t="n">
        <f aca="false">Assumptions!$D$6*Assumptions!$H$6*AI9</f>
        <v>36.99416</v>
      </c>
      <c r="AJ16" s="32" t="n">
        <f aca="false">Assumptions!$D$6*Assumptions!$H$6*AJ9</f>
        <v>36.99416</v>
      </c>
      <c r="AK16" s="32" t="n">
        <f aca="false">Assumptions!$D$6*Assumptions!$H$6*AK9</f>
        <v>36.99416</v>
      </c>
      <c r="AL16" s="32" t="n">
        <f aca="false">Assumptions!$D$6*Assumptions!$H$6*AL9</f>
        <v>36.99416</v>
      </c>
      <c r="AM16" s="32" t="n">
        <f aca="false">Assumptions!$D$6*Assumptions!$H$6*AM9</f>
        <v>36.99416</v>
      </c>
      <c r="AN16" s="32" t="n">
        <f aca="false">Assumptions!$D$6*Assumptions!$H$6*AN9</f>
        <v>36.99416</v>
      </c>
      <c r="AO16" s="32" t="n">
        <f aca="false">Assumptions!$D$6*Assumptions!$H$6*AO9</f>
        <v>36.99416</v>
      </c>
      <c r="AP16" s="32" t="n">
        <f aca="false">Assumptions!$D$6*Assumptions!$H$6*AP9</f>
        <v>36.99416</v>
      </c>
      <c r="AQ16" s="32" t="n">
        <f aca="false">Assumptions!$D$6*Assumptions!$H$6*AQ9</f>
        <v>36.99416</v>
      </c>
      <c r="AR16" s="32" t="n">
        <f aca="false">Assumptions!$D$6*Assumptions!$H$6*AR9</f>
        <v>36.99416</v>
      </c>
      <c r="AS16" s="32" t="n">
        <f aca="false">Assumptions!$D$6*Assumptions!$H$6*AS9</f>
        <v>36.99416</v>
      </c>
      <c r="AT16" s="32" t="n">
        <f aca="false">Assumptions!$D$6*Assumptions!$H$6*AT9</f>
        <v>36.99416</v>
      </c>
      <c r="AU16" s="32" t="n">
        <f aca="false">Assumptions!$D$6*Assumptions!$H$6*AU9</f>
        <v>36.99416</v>
      </c>
      <c r="AV16" s="32" t="n">
        <f aca="false">Assumptions!$D$6*Assumptions!$H$6*AV9</f>
        <v>36.99416</v>
      </c>
      <c r="AW16" s="32" t="n">
        <f aca="false">Assumptions!$D$6*Assumptions!$H$6*AW9</f>
        <v>36.99416</v>
      </c>
      <c r="AX16" s="32" t="n">
        <f aca="false">Assumptions!$D$6*Assumptions!$H$6*AX9</f>
        <v>36.99416</v>
      </c>
      <c r="AY16" s="32" t="n">
        <f aca="false">Assumptions!$D$6*Assumptions!$H$6*AY9</f>
        <v>36.99416</v>
      </c>
      <c r="AZ16" s="32" t="n">
        <f aca="false">Assumptions!$D$6*Assumptions!$H$6*AZ9</f>
        <v>36.99416</v>
      </c>
      <c r="BA16" s="32" t="n">
        <f aca="false">Assumptions!$D$6*Assumptions!$H$6*BA9</f>
        <v>36.99416</v>
      </c>
      <c r="BB16" s="32" t="n">
        <f aca="false">Assumptions!$D$6*Assumptions!$H$6*BB9</f>
        <v>36.99416</v>
      </c>
      <c r="BC16" s="32" t="n">
        <f aca="false">Assumptions!$D$6*Assumptions!$H$6*BC9</f>
        <v>36.99416</v>
      </c>
      <c r="BD16" s="32" t="n">
        <f aca="false">Assumptions!$D$6*Assumptions!$H$6*BD9</f>
        <v>36.99416</v>
      </c>
      <c r="BE16" s="32" t="n">
        <f aca="false">Assumptions!$D$6*Assumptions!$H$6*BE9</f>
        <v>36.99416</v>
      </c>
      <c r="BF16" s="32" t="n">
        <f aca="false">Assumptions!$D$6*Assumptions!$H$6*BF9</f>
        <v>36.99416</v>
      </c>
      <c r="BG16" s="32" t="n">
        <f aca="false">Assumptions!$D$6*Assumptions!$H$6*BG9</f>
        <v>36.99416</v>
      </c>
      <c r="BH16" s="32" t="n">
        <f aca="false">Assumptions!$D$6*Assumptions!$H$6*BH9</f>
        <v>36.99416</v>
      </c>
      <c r="BI16" s="32" t="n">
        <f aca="false">Assumptions!$D$6*Assumptions!$H$6*BI9</f>
        <v>36.99416</v>
      </c>
      <c r="BJ16" s="32" t="n">
        <f aca="false">Assumptions!$D$6*Assumptions!$H$6*BJ9</f>
        <v>36.99416</v>
      </c>
    </row>
    <row r="17" customFormat="false" ht="15" hidden="false" customHeight="false" outlineLevel="0" collapsed="false">
      <c r="A17" s="5" t="s">
        <v>44</v>
      </c>
      <c r="C17" s="32" t="n">
        <f aca="false">Assumptions!$D$7*Assumptions!$H$7*C10</f>
        <v>0</v>
      </c>
      <c r="D17" s="32" t="n">
        <f aca="false">Assumptions!$D$7*Assumptions!$H$7*D10</f>
        <v>0</v>
      </c>
      <c r="E17" s="32" t="n">
        <f aca="false">Assumptions!$D$7*Assumptions!$H$7*E10</f>
        <v>0</v>
      </c>
      <c r="F17" s="32" t="n">
        <f aca="false">Assumptions!$D$7*Assumptions!$H$7*F10</f>
        <v>0</v>
      </c>
      <c r="G17" s="32" t="n">
        <f aca="false">Assumptions!$D$7*Assumptions!$H$7*G10</f>
        <v>0</v>
      </c>
      <c r="H17" s="32" t="n">
        <f aca="false">Assumptions!$D$7*Assumptions!$H$7*H10</f>
        <v>0</v>
      </c>
      <c r="I17" s="32" t="n">
        <f aca="false">Assumptions!$D$7*Assumptions!$H$7*I10</f>
        <v>1.04</v>
      </c>
      <c r="J17" s="32" t="n">
        <f aca="false">Assumptions!$D$7*Assumptions!$H$7*J10</f>
        <v>2.08</v>
      </c>
      <c r="K17" s="32" t="n">
        <f aca="false">Assumptions!$D$7*Assumptions!$H$7*K10</f>
        <v>3.12</v>
      </c>
      <c r="L17" s="32" t="n">
        <f aca="false">Assumptions!$D$7*Assumptions!$H$7*L10</f>
        <v>4.16</v>
      </c>
      <c r="M17" s="32" t="n">
        <f aca="false">Assumptions!$D$7*Assumptions!$H$7*M10</f>
        <v>5.2</v>
      </c>
      <c r="N17" s="32" t="n">
        <f aca="false">Assumptions!$D$7*Assumptions!$H$7*N10</f>
        <v>6.24</v>
      </c>
      <c r="O17" s="32" t="n">
        <f aca="false">Assumptions!$D$7*Assumptions!$H$7*O10</f>
        <v>7.28</v>
      </c>
      <c r="P17" s="32" t="n">
        <f aca="false">Assumptions!$D$7*Assumptions!$H$7*P10</f>
        <v>8.32</v>
      </c>
      <c r="Q17" s="32" t="n">
        <f aca="false">Assumptions!$D$7*Assumptions!$H$7*Q10</f>
        <v>9.36</v>
      </c>
      <c r="R17" s="32" t="n">
        <f aca="false">Assumptions!$D$7*Assumptions!$H$7*R10</f>
        <v>9.36</v>
      </c>
      <c r="S17" s="32" t="n">
        <f aca="false">Assumptions!$D$7*Assumptions!$H$7*S10</f>
        <v>9.36</v>
      </c>
      <c r="T17" s="32" t="n">
        <f aca="false">Assumptions!$D$7*Assumptions!$H$7*T10</f>
        <v>9.36</v>
      </c>
      <c r="U17" s="32" t="n">
        <f aca="false">Assumptions!$D$7*Assumptions!$H$7*U10</f>
        <v>9.36</v>
      </c>
      <c r="V17" s="32" t="n">
        <f aca="false">Assumptions!$D$7*Assumptions!$H$7*V10</f>
        <v>9.36</v>
      </c>
      <c r="W17" s="32" t="n">
        <f aca="false">Assumptions!$D$7*Assumptions!$H$7*W10</f>
        <v>9.36</v>
      </c>
      <c r="X17" s="32" t="n">
        <f aca="false">Assumptions!$D$7*Assumptions!$H$7*X10</f>
        <v>9.36</v>
      </c>
      <c r="Y17" s="32" t="n">
        <f aca="false">Assumptions!$D$7*Assumptions!$H$7*Y10</f>
        <v>9.36</v>
      </c>
      <c r="Z17" s="32" t="n">
        <f aca="false">Assumptions!$D$7*Assumptions!$H$7*Z10</f>
        <v>9.36</v>
      </c>
      <c r="AA17" s="32" t="n">
        <f aca="false">Assumptions!$D$7*Assumptions!$H$7*AA10</f>
        <v>9.36</v>
      </c>
      <c r="AB17" s="32" t="n">
        <f aca="false">Assumptions!$D$7*Assumptions!$H$7*AB10</f>
        <v>9.36</v>
      </c>
      <c r="AC17" s="32" t="n">
        <f aca="false">Assumptions!$D$7*Assumptions!$H$7*AC10</f>
        <v>9.36</v>
      </c>
      <c r="AD17" s="32" t="n">
        <f aca="false">Assumptions!$D$7*Assumptions!$H$7*AD10</f>
        <v>9.36</v>
      </c>
      <c r="AE17" s="32" t="n">
        <f aca="false">Assumptions!$D$7*Assumptions!$H$7*AE10</f>
        <v>9.36</v>
      </c>
      <c r="AF17" s="32" t="n">
        <f aca="false">Assumptions!$D$7*Assumptions!$H$7*AF10</f>
        <v>9.36</v>
      </c>
      <c r="AG17" s="32" t="n">
        <f aca="false">Assumptions!$D$7*Assumptions!$H$7*AG10</f>
        <v>9.36</v>
      </c>
      <c r="AH17" s="32" t="n">
        <f aca="false">Assumptions!$D$7*Assumptions!$H$7*AH10</f>
        <v>9.36</v>
      </c>
      <c r="AI17" s="32" t="n">
        <f aca="false">Assumptions!$D$7*Assumptions!$H$7*AI10</f>
        <v>9.36</v>
      </c>
      <c r="AJ17" s="32" t="n">
        <f aca="false">Assumptions!$D$7*Assumptions!$H$7*AJ10</f>
        <v>9.36</v>
      </c>
      <c r="AK17" s="32" t="n">
        <f aca="false">Assumptions!$D$7*Assumptions!$H$7*AK10</f>
        <v>9.36</v>
      </c>
      <c r="AL17" s="32" t="n">
        <f aca="false">Assumptions!$D$7*Assumptions!$H$7*AL10</f>
        <v>9.36</v>
      </c>
      <c r="AM17" s="32" t="n">
        <f aca="false">Assumptions!$D$7*Assumptions!$H$7*AM10</f>
        <v>9.36</v>
      </c>
      <c r="AN17" s="32" t="n">
        <f aca="false">Assumptions!$D$7*Assumptions!$H$7*AN10</f>
        <v>9.36</v>
      </c>
      <c r="AO17" s="32" t="n">
        <f aca="false">Assumptions!$D$7*Assumptions!$H$7*AO10</f>
        <v>9.36</v>
      </c>
      <c r="AP17" s="32" t="n">
        <f aca="false">Assumptions!$D$7*Assumptions!$H$7*AP10</f>
        <v>9.36</v>
      </c>
      <c r="AQ17" s="32" t="n">
        <f aca="false">Assumptions!$D$7*Assumptions!$H$7*AQ10</f>
        <v>9.36</v>
      </c>
      <c r="AR17" s="32" t="n">
        <f aca="false">Assumptions!$D$7*Assumptions!$H$7*AR10</f>
        <v>9.36</v>
      </c>
      <c r="AS17" s="32" t="n">
        <f aca="false">Assumptions!$D$7*Assumptions!$H$7*AS10</f>
        <v>9.36</v>
      </c>
      <c r="AT17" s="32" t="n">
        <f aca="false">Assumptions!$D$7*Assumptions!$H$7*AT10</f>
        <v>9.36</v>
      </c>
      <c r="AU17" s="32" t="n">
        <f aca="false">Assumptions!$D$7*Assumptions!$H$7*AU10</f>
        <v>9.36</v>
      </c>
      <c r="AV17" s="32" t="n">
        <f aca="false">Assumptions!$D$7*Assumptions!$H$7*AV10</f>
        <v>9.36</v>
      </c>
      <c r="AW17" s="32" t="n">
        <f aca="false">Assumptions!$D$7*Assumptions!$H$7*AW10</f>
        <v>9.36</v>
      </c>
      <c r="AX17" s="32" t="n">
        <f aca="false">Assumptions!$D$7*Assumptions!$H$7*AX10</f>
        <v>9.36</v>
      </c>
      <c r="AY17" s="32" t="n">
        <f aca="false">Assumptions!$D$7*Assumptions!$H$7*AY10</f>
        <v>9.36</v>
      </c>
      <c r="AZ17" s="32" t="n">
        <f aca="false">Assumptions!$D$7*Assumptions!$H$7*AZ10</f>
        <v>9.36</v>
      </c>
      <c r="BA17" s="32" t="n">
        <f aca="false">Assumptions!$D$7*Assumptions!$H$7*BA10</f>
        <v>9.36</v>
      </c>
      <c r="BB17" s="32" t="n">
        <f aca="false">Assumptions!$D$7*Assumptions!$H$7*BB10</f>
        <v>9.36</v>
      </c>
      <c r="BC17" s="32" t="n">
        <f aca="false">Assumptions!$D$7*Assumptions!$H$7*BC10</f>
        <v>9.36</v>
      </c>
      <c r="BD17" s="32" t="n">
        <f aca="false">Assumptions!$D$7*Assumptions!$H$7*BD10</f>
        <v>9.36</v>
      </c>
      <c r="BE17" s="32" t="n">
        <f aca="false">Assumptions!$D$7*Assumptions!$H$7*BE10</f>
        <v>9.36</v>
      </c>
      <c r="BF17" s="32" t="n">
        <f aca="false">Assumptions!$D$7*Assumptions!$H$7*BF10</f>
        <v>9.36</v>
      </c>
      <c r="BG17" s="32" t="n">
        <f aca="false">Assumptions!$D$7*Assumptions!$H$7*BG10</f>
        <v>9.36</v>
      </c>
      <c r="BH17" s="32" t="n">
        <f aca="false">Assumptions!$D$7*Assumptions!$H$7*BH10</f>
        <v>9.36</v>
      </c>
      <c r="BI17" s="32" t="n">
        <f aca="false">Assumptions!$D$7*Assumptions!$H$7*BI10</f>
        <v>9.36</v>
      </c>
      <c r="BJ17" s="32" t="n">
        <f aca="false">Assumptions!$D$7*Assumptions!$H$7*BJ10</f>
        <v>9.36</v>
      </c>
    </row>
    <row r="18" customFormat="false" ht="15" hidden="false" customHeight="false" outlineLevel="0" collapsed="false">
      <c r="A18" s="5" t="s">
        <v>46</v>
      </c>
      <c r="C18" s="32" t="n">
        <f aca="false">Assumptions!$D$8*Assumptions!$H$8*C11</f>
        <v>0</v>
      </c>
      <c r="D18" s="32" t="n">
        <f aca="false">Assumptions!$D$8*Assumptions!$H$8*D11</f>
        <v>0</v>
      </c>
      <c r="E18" s="32" t="n">
        <f aca="false">Assumptions!$D$8*Assumptions!$H$8*E11</f>
        <v>0</v>
      </c>
      <c r="F18" s="32" t="n">
        <f aca="false">Assumptions!$D$8*Assumptions!$H$8*F11</f>
        <v>0</v>
      </c>
      <c r="G18" s="32" t="n">
        <f aca="false">Assumptions!$D$8*Assumptions!$H$8*G11</f>
        <v>0</v>
      </c>
      <c r="H18" s="32" t="n">
        <f aca="false">Assumptions!$D$8*Assumptions!$H$8*H11</f>
        <v>0</v>
      </c>
      <c r="I18" s="32" t="n">
        <f aca="false">Assumptions!$D$8*Assumptions!$H$8*I11</f>
        <v>0.466666666666667</v>
      </c>
      <c r="J18" s="32" t="n">
        <f aca="false">Assumptions!$D$8*Assumptions!$H$8*J11</f>
        <v>0.933333333333333</v>
      </c>
      <c r="K18" s="32" t="n">
        <f aca="false">Assumptions!$D$8*Assumptions!$H$8*K11</f>
        <v>1.4</v>
      </c>
      <c r="L18" s="32" t="n">
        <f aca="false">Assumptions!$D$8*Assumptions!$H$8*L11</f>
        <v>1.86666666666667</v>
      </c>
      <c r="M18" s="32" t="n">
        <f aca="false">Assumptions!$D$8*Assumptions!$H$8*M11</f>
        <v>2.33333333333333</v>
      </c>
      <c r="N18" s="32" t="n">
        <f aca="false">Assumptions!$D$8*Assumptions!$H$8*N11</f>
        <v>2.8</v>
      </c>
      <c r="O18" s="32" t="n">
        <f aca="false">Assumptions!$D$8*Assumptions!$H$8*O11</f>
        <v>3.26666666666667</v>
      </c>
      <c r="P18" s="32" t="n">
        <f aca="false">Assumptions!$D$8*Assumptions!$H$8*P11</f>
        <v>3.73333333333333</v>
      </c>
      <c r="Q18" s="32" t="n">
        <f aca="false">Assumptions!$D$8*Assumptions!$H$8*Q11</f>
        <v>4.2</v>
      </c>
      <c r="R18" s="32" t="n">
        <f aca="false">Assumptions!$D$8*Assumptions!$H$8*R11</f>
        <v>4.2</v>
      </c>
      <c r="S18" s="32" t="n">
        <f aca="false">Assumptions!$D$8*Assumptions!$H$8*S11</f>
        <v>4.2</v>
      </c>
      <c r="T18" s="32" t="n">
        <f aca="false">Assumptions!$D$8*Assumptions!$H$8*T11</f>
        <v>4.2</v>
      </c>
      <c r="U18" s="32" t="n">
        <f aca="false">Assumptions!$D$8*Assumptions!$H$8*U11</f>
        <v>4.2</v>
      </c>
      <c r="V18" s="32" t="n">
        <f aca="false">Assumptions!$D$8*Assumptions!$H$8*V11</f>
        <v>4.2</v>
      </c>
      <c r="W18" s="32" t="n">
        <f aca="false">Assumptions!$D$8*Assumptions!$H$8*W11</f>
        <v>4.2</v>
      </c>
      <c r="X18" s="32" t="n">
        <f aca="false">Assumptions!$D$8*Assumptions!$H$8*X11</f>
        <v>4.2</v>
      </c>
      <c r="Y18" s="32" t="n">
        <f aca="false">Assumptions!$D$8*Assumptions!$H$8*Y11</f>
        <v>4.2</v>
      </c>
      <c r="Z18" s="32" t="n">
        <f aca="false">Assumptions!$D$8*Assumptions!$H$8*Z11</f>
        <v>4.2</v>
      </c>
      <c r="AA18" s="32" t="n">
        <f aca="false">Assumptions!$D$8*Assumptions!$H$8*AA11</f>
        <v>4.2</v>
      </c>
      <c r="AB18" s="32" t="n">
        <f aca="false">Assumptions!$D$8*Assumptions!$H$8*AB11</f>
        <v>4.2</v>
      </c>
      <c r="AC18" s="32" t="n">
        <f aca="false">Assumptions!$D$8*Assumptions!$H$8*AC11</f>
        <v>4.2</v>
      </c>
      <c r="AD18" s="32" t="n">
        <f aca="false">Assumptions!$D$8*Assumptions!$H$8*AD11</f>
        <v>4.2</v>
      </c>
      <c r="AE18" s="32" t="n">
        <f aca="false">Assumptions!$D$8*Assumptions!$H$8*AE11</f>
        <v>4.2</v>
      </c>
      <c r="AF18" s="32" t="n">
        <f aca="false">Assumptions!$D$8*Assumptions!$H$8*AF11</f>
        <v>4.2</v>
      </c>
      <c r="AG18" s="32" t="n">
        <f aca="false">Assumptions!$D$8*Assumptions!$H$8*AG11</f>
        <v>4.2</v>
      </c>
      <c r="AH18" s="32" t="n">
        <f aca="false">Assumptions!$D$8*Assumptions!$H$8*AH11</f>
        <v>4.2</v>
      </c>
      <c r="AI18" s="32" t="n">
        <f aca="false">Assumptions!$D$8*Assumptions!$H$8*AI11</f>
        <v>4.2</v>
      </c>
      <c r="AJ18" s="32" t="n">
        <f aca="false">Assumptions!$D$8*Assumptions!$H$8*AJ11</f>
        <v>4.2</v>
      </c>
      <c r="AK18" s="32" t="n">
        <f aca="false">Assumptions!$D$8*Assumptions!$H$8*AK11</f>
        <v>4.2</v>
      </c>
      <c r="AL18" s="32" t="n">
        <f aca="false">Assumptions!$D$8*Assumptions!$H$8*AL11</f>
        <v>4.2</v>
      </c>
      <c r="AM18" s="32" t="n">
        <f aca="false">Assumptions!$D$8*Assumptions!$H$8*AM11</f>
        <v>4.2</v>
      </c>
      <c r="AN18" s="32" t="n">
        <f aca="false">Assumptions!$D$8*Assumptions!$H$8*AN11</f>
        <v>4.2</v>
      </c>
      <c r="AO18" s="32" t="n">
        <f aca="false">Assumptions!$D$8*Assumptions!$H$8*AO11</f>
        <v>4.2</v>
      </c>
      <c r="AP18" s="32" t="n">
        <f aca="false">Assumptions!$D$8*Assumptions!$H$8*AP11</f>
        <v>4.2</v>
      </c>
      <c r="AQ18" s="32" t="n">
        <f aca="false">Assumptions!$D$8*Assumptions!$H$8*AQ11</f>
        <v>4.2</v>
      </c>
      <c r="AR18" s="32" t="n">
        <f aca="false">Assumptions!$D$8*Assumptions!$H$8*AR11</f>
        <v>4.2</v>
      </c>
      <c r="AS18" s="32" t="n">
        <f aca="false">Assumptions!$D$8*Assumptions!$H$8*AS11</f>
        <v>4.2</v>
      </c>
      <c r="AT18" s="32" t="n">
        <f aca="false">Assumptions!$D$8*Assumptions!$H$8*AT11</f>
        <v>4.2</v>
      </c>
      <c r="AU18" s="32" t="n">
        <f aca="false">Assumptions!$D$8*Assumptions!$H$8*AU11</f>
        <v>4.2</v>
      </c>
      <c r="AV18" s="32" t="n">
        <f aca="false">Assumptions!$D$8*Assumptions!$H$8*AV11</f>
        <v>4.2</v>
      </c>
      <c r="AW18" s="32" t="n">
        <f aca="false">Assumptions!$D$8*Assumptions!$H$8*AW11</f>
        <v>4.2</v>
      </c>
      <c r="AX18" s="32" t="n">
        <f aca="false">Assumptions!$D$8*Assumptions!$H$8*AX11</f>
        <v>4.2</v>
      </c>
      <c r="AY18" s="32" t="n">
        <f aca="false">Assumptions!$D$8*Assumptions!$H$8*AY11</f>
        <v>4.2</v>
      </c>
      <c r="AZ18" s="32" t="n">
        <f aca="false">Assumptions!$D$8*Assumptions!$H$8*AZ11</f>
        <v>4.2</v>
      </c>
      <c r="BA18" s="32" t="n">
        <f aca="false">Assumptions!$D$8*Assumptions!$H$8*BA11</f>
        <v>4.2</v>
      </c>
      <c r="BB18" s="32" t="n">
        <f aca="false">Assumptions!$D$8*Assumptions!$H$8*BB11</f>
        <v>4.2</v>
      </c>
      <c r="BC18" s="32" t="n">
        <f aca="false">Assumptions!$D$8*Assumptions!$H$8*BC11</f>
        <v>4.2</v>
      </c>
      <c r="BD18" s="32" t="n">
        <f aca="false">Assumptions!$D$8*Assumptions!$H$8*BD11</f>
        <v>4.2</v>
      </c>
      <c r="BE18" s="32" t="n">
        <f aca="false">Assumptions!$D$8*Assumptions!$H$8*BE11</f>
        <v>4.2</v>
      </c>
      <c r="BF18" s="32" t="n">
        <f aca="false">Assumptions!$D$8*Assumptions!$H$8*BF11</f>
        <v>4.2</v>
      </c>
      <c r="BG18" s="32" t="n">
        <f aca="false">Assumptions!$D$8*Assumptions!$H$8*BG11</f>
        <v>4.2</v>
      </c>
      <c r="BH18" s="32" t="n">
        <f aca="false">Assumptions!$D$8*Assumptions!$H$8*BH11</f>
        <v>4.2</v>
      </c>
      <c r="BI18" s="32" t="n">
        <f aca="false">Assumptions!$D$8*Assumptions!$H$8*BI11</f>
        <v>4.2</v>
      </c>
      <c r="BJ18" s="32" t="n">
        <f aca="false">Assumptions!$D$8*Assumptions!$H$8*BJ11</f>
        <v>4.2</v>
      </c>
    </row>
    <row r="19" customFormat="false" ht="15" hidden="false" customHeight="false" outlineLevel="0" collapsed="false">
      <c r="A19" s="5" t="s">
        <v>48</v>
      </c>
      <c r="C19" s="32" t="n">
        <f aca="false">Assumptions!$D$9*Assumptions!$H$9*C12</f>
        <v>0</v>
      </c>
      <c r="D19" s="32" t="n">
        <f aca="false">Assumptions!$D$9*Assumptions!$H$9*D12</f>
        <v>0</v>
      </c>
      <c r="E19" s="32" t="n">
        <f aca="false">Assumptions!$D$9*Assumptions!$H$9*E12</f>
        <v>0</v>
      </c>
      <c r="F19" s="32" t="n">
        <f aca="false">Assumptions!$D$9*Assumptions!$H$9*F12</f>
        <v>0</v>
      </c>
      <c r="G19" s="32" t="n">
        <f aca="false">Assumptions!$D$9*Assumptions!$H$9*G12</f>
        <v>0</v>
      </c>
      <c r="H19" s="32" t="n">
        <f aca="false">Assumptions!$D$9*Assumptions!$H$9*H12</f>
        <v>0</v>
      </c>
      <c r="I19" s="32" t="n">
        <f aca="false">Assumptions!$D$9*Assumptions!$H$9*I12</f>
        <v>0</v>
      </c>
      <c r="J19" s="32" t="n">
        <f aca="false">Assumptions!$D$9*Assumptions!$H$9*J12</f>
        <v>0</v>
      </c>
      <c r="K19" s="32" t="n">
        <f aca="false">Assumptions!$D$9*Assumptions!$H$9*K12</f>
        <v>0</v>
      </c>
      <c r="L19" s="32" t="n">
        <f aca="false">Assumptions!$D$9*Assumptions!$H$9*L12</f>
        <v>0</v>
      </c>
      <c r="M19" s="32" t="n">
        <f aca="false">Assumptions!$D$9*Assumptions!$H$9*M12</f>
        <v>0</v>
      </c>
      <c r="N19" s="32" t="n">
        <f aca="false">Assumptions!$D$9*Assumptions!$H$9*N12</f>
        <v>0</v>
      </c>
      <c r="O19" s="32" t="n">
        <f aca="false">Assumptions!$D$9*Assumptions!$H$9*O12</f>
        <v>0</v>
      </c>
      <c r="P19" s="32" t="n">
        <f aca="false">Assumptions!$D$9*Assumptions!$H$9*P12</f>
        <v>0</v>
      </c>
      <c r="Q19" s="32" t="n">
        <f aca="false">Assumptions!$D$9*Assumptions!$H$9*Q12</f>
        <v>0</v>
      </c>
      <c r="R19" s="32" t="n">
        <f aca="false">Assumptions!$D$9*Assumptions!$H$9*R12</f>
        <v>0</v>
      </c>
      <c r="S19" s="32" t="n">
        <f aca="false">Assumptions!$D$9*Assumptions!$H$9*S12</f>
        <v>0</v>
      </c>
      <c r="T19" s="32" t="n">
        <f aca="false">Assumptions!$D$9*Assumptions!$H$9*T12</f>
        <v>0</v>
      </c>
      <c r="U19" s="32" t="n">
        <f aca="false">Assumptions!$D$9*Assumptions!$H$9*U12</f>
        <v>0.34713</v>
      </c>
      <c r="V19" s="32" t="n">
        <f aca="false">Assumptions!$D$9*Assumptions!$H$9*V12</f>
        <v>0.69426</v>
      </c>
      <c r="W19" s="32" t="n">
        <f aca="false">Assumptions!$D$9*Assumptions!$H$9*W12</f>
        <v>1.04139</v>
      </c>
      <c r="X19" s="32" t="n">
        <f aca="false">Assumptions!$D$9*Assumptions!$H$9*X12</f>
        <v>1.38852</v>
      </c>
      <c r="Y19" s="32" t="n">
        <f aca="false">Assumptions!$D$9*Assumptions!$H$9*Y12</f>
        <v>1.73565</v>
      </c>
      <c r="Z19" s="32" t="n">
        <f aca="false">Assumptions!$D$9*Assumptions!$H$9*Z12</f>
        <v>2.08278</v>
      </c>
      <c r="AA19" s="32" t="n">
        <f aca="false">Assumptions!$D$9*Assumptions!$H$9*AA12</f>
        <v>2.42991</v>
      </c>
      <c r="AB19" s="32" t="n">
        <f aca="false">Assumptions!$D$9*Assumptions!$H$9*AB12</f>
        <v>2.77704</v>
      </c>
      <c r="AC19" s="32" t="n">
        <f aca="false">Assumptions!$D$9*Assumptions!$H$9*AC12</f>
        <v>3.12417</v>
      </c>
      <c r="AD19" s="32" t="n">
        <f aca="false">Assumptions!$D$9*Assumptions!$H$9*AD12</f>
        <v>3.12417</v>
      </c>
      <c r="AE19" s="32" t="n">
        <f aca="false">Assumptions!$D$9*Assumptions!$H$9*AE12</f>
        <v>3.12417</v>
      </c>
      <c r="AF19" s="32" t="n">
        <f aca="false">Assumptions!$D$9*Assumptions!$H$9*AF12</f>
        <v>3.12417</v>
      </c>
      <c r="AG19" s="32" t="n">
        <f aca="false">Assumptions!$D$9*Assumptions!$H$9*AG12</f>
        <v>3.12417</v>
      </c>
      <c r="AH19" s="32" t="n">
        <f aca="false">Assumptions!$D$9*Assumptions!$H$9*AH12</f>
        <v>3.12417</v>
      </c>
      <c r="AI19" s="32" t="n">
        <f aca="false">Assumptions!$D$9*Assumptions!$H$9*AI12</f>
        <v>3.12417</v>
      </c>
      <c r="AJ19" s="32" t="n">
        <f aca="false">Assumptions!$D$9*Assumptions!$H$9*AJ12</f>
        <v>3.12417</v>
      </c>
      <c r="AK19" s="32" t="n">
        <f aca="false">Assumptions!$D$9*Assumptions!$H$9*AK12</f>
        <v>3.12417</v>
      </c>
      <c r="AL19" s="32" t="n">
        <f aca="false">Assumptions!$D$9*Assumptions!$H$9*AL12</f>
        <v>3.12417</v>
      </c>
      <c r="AM19" s="32" t="n">
        <f aca="false">Assumptions!$D$9*Assumptions!$H$9*AM12</f>
        <v>3.12417</v>
      </c>
      <c r="AN19" s="32" t="n">
        <f aca="false">Assumptions!$D$9*Assumptions!$H$9*AN12</f>
        <v>3.12417</v>
      </c>
      <c r="AO19" s="32" t="n">
        <f aca="false">Assumptions!$D$9*Assumptions!$H$9*AO12</f>
        <v>3.12417</v>
      </c>
      <c r="AP19" s="32" t="n">
        <f aca="false">Assumptions!$D$9*Assumptions!$H$9*AP12</f>
        <v>3.12417</v>
      </c>
      <c r="AQ19" s="32" t="n">
        <f aca="false">Assumptions!$D$9*Assumptions!$H$9*AQ12</f>
        <v>3.12417</v>
      </c>
      <c r="AR19" s="32" t="n">
        <f aca="false">Assumptions!$D$9*Assumptions!$H$9*AR12</f>
        <v>3.12417</v>
      </c>
      <c r="AS19" s="32" t="n">
        <f aca="false">Assumptions!$D$9*Assumptions!$H$9*AS12</f>
        <v>3.12417</v>
      </c>
      <c r="AT19" s="32" t="n">
        <f aca="false">Assumptions!$D$9*Assumptions!$H$9*AT12</f>
        <v>3.12417</v>
      </c>
      <c r="AU19" s="32" t="n">
        <f aca="false">Assumptions!$D$9*Assumptions!$H$9*AU12</f>
        <v>3.12417</v>
      </c>
      <c r="AV19" s="32" t="n">
        <f aca="false">Assumptions!$D$9*Assumptions!$H$9*AV12</f>
        <v>3.12417</v>
      </c>
      <c r="AW19" s="32" t="n">
        <f aca="false">Assumptions!$D$9*Assumptions!$H$9*AW12</f>
        <v>3.12417</v>
      </c>
      <c r="AX19" s="32" t="n">
        <f aca="false">Assumptions!$D$9*Assumptions!$H$9*AX12</f>
        <v>3.12417</v>
      </c>
      <c r="AY19" s="32" t="n">
        <f aca="false">Assumptions!$D$9*Assumptions!$H$9*AY12</f>
        <v>3.12417</v>
      </c>
      <c r="AZ19" s="32" t="n">
        <f aca="false">Assumptions!$D$9*Assumptions!$H$9*AZ12</f>
        <v>3.12417</v>
      </c>
      <c r="BA19" s="32" t="n">
        <f aca="false">Assumptions!$D$9*Assumptions!$H$9*BA12</f>
        <v>3.12417</v>
      </c>
      <c r="BB19" s="32" t="n">
        <f aca="false">Assumptions!$D$9*Assumptions!$H$9*BB12</f>
        <v>3.12417</v>
      </c>
      <c r="BC19" s="32" t="n">
        <f aca="false">Assumptions!$D$9*Assumptions!$H$9*BC12</f>
        <v>3.12417</v>
      </c>
      <c r="BD19" s="32" t="n">
        <f aca="false">Assumptions!$D$9*Assumptions!$H$9*BD12</f>
        <v>3.12417</v>
      </c>
      <c r="BE19" s="32" t="n">
        <f aca="false">Assumptions!$D$9*Assumptions!$H$9*BE12</f>
        <v>3.12417</v>
      </c>
      <c r="BF19" s="32" t="n">
        <f aca="false">Assumptions!$D$9*Assumptions!$H$9*BF12</f>
        <v>3.12417</v>
      </c>
      <c r="BG19" s="32" t="n">
        <f aca="false">Assumptions!$D$9*Assumptions!$H$9*BG12</f>
        <v>3.12417</v>
      </c>
      <c r="BH19" s="32" t="n">
        <f aca="false">Assumptions!$D$9*Assumptions!$H$9*BH12</f>
        <v>3.12417</v>
      </c>
      <c r="BI19" s="32" t="n">
        <f aca="false">Assumptions!$D$9*Assumptions!$H$9*BI12</f>
        <v>3.12417</v>
      </c>
      <c r="BJ19" s="32" t="n">
        <f aca="false">Assumptions!$D$9*Assumptions!$H$9*BJ12</f>
        <v>3.12417</v>
      </c>
    </row>
    <row r="20" customFormat="false" ht="15" hidden="false" customHeight="false" outlineLevel="0" collapsed="false">
      <c r="A20" s="5" t="s">
        <v>50</v>
      </c>
      <c r="C20" s="32" t="n">
        <f aca="false">Assumptions!$D$10*Assumptions!$H$10*C13</f>
        <v>0</v>
      </c>
      <c r="D20" s="32" t="n">
        <f aca="false">Assumptions!$D$10*Assumptions!$H$10*D13</f>
        <v>0</v>
      </c>
      <c r="E20" s="32" t="n">
        <f aca="false">Assumptions!$D$10*Assumptions!$H$10*E13</f>
        <v>0</v>
      </c>
      <c r="F20" s="32" t="n">
        <f aca="false">Assumptions!$D$10*Assumptions!$H$10*F13</f>
        <v>0</v>
      </c>
      <c r="G20" s="32" t="n">
        <f aca="false">Assumptions!$D$10*Assumptions!$H$10*G13</f>
        <v>0</v>
      </c>
      <c r="H20" s="32" t="n">
        <f aca="false">Assumptions!$D$10*Assumptions!$H$10*H13</f>
        <v>0</v>
      </c>
      <c r="I20" s="32" t="n">
        <f aca="false">Assumptions!$D$10*Assumptions!$H$10*I13</f>
        <v>0</v>
      </c>
      <c r="J20" s="32" t="n">
        <f aca="false">Assumptions!$D$10*Assumptions!$H$10*J13</f>
        <v>0</v>
      </c>
      <c r="K20" s="32" t="n">
        <f aca="false">Assumptions!$D$10*Assumptions!$H$10*K13</f>
        <v>0</v>
      </c>
      <c r="L20" s="32" t="n">
        <f aca="false">Assumptions!$D$10*Assumptions!$H$10*L13</f>
        <v>0</v>
      </c>
      <c r="M20" s="32" t="n">
        <f aca="false">Assumptions!$D$10*Assumptions!$H$10*M13</f>
        <v>0</v>
      </c>
      <c r="N20" s="32" t="n">
        <f aca="false">Assumptions!$D$10*Assumptions!$H$10*N13</f>
        <v>0</v>
      </c>
      <c r="O20" s="32" t="n">
        <f aca="false">Assumptions!$D$10*Assumptions!$H$10*O13</f>
        <v>0</v>
      </c>
      <c r="P20" s="32" t="n">
        <f aca="false">Assumptions!$D$10*Assumptions!$H$10*P13</f>
        <v>0</v>
      </c>
      <c r="Q20" s="32" t="n">
        <f aca="false">Assumptions!$D$10*Assumptions!$H$10*Q13</f>
        <v>0</v>
      </c>
      <c r="R20" s="32" t="n">
        <f aca="false">Assumptions!$D$10*Assumptions!$H$10*R13</f>
        <v>0</v>
      </c>
      <c r="S20" s="32" t="n">
        <f aca="false">Assumptions!$D$10*Assumptions!$H$10*S13</f>
        <v>0</v>
      </c>
      <c r="T20" s="32" t="n">
        <f aca="false">Assumptions!$D$10*Assumptions!$H$10*T13</f>
        <v>0</v>
      </c>
      <c r="U20" s="32" t="n">
        <f aca="false">Assumptions!$D$10*Assumptions!$H$10*U13</f>
        <v>0.233333333333333</v>
      </c>
      <c r="V20" s="32" t="n">
        <f aca="false">Assumptions!$D$10*Assumptions!$H$10*V13</f>
        <v>0.466666666666667</v>
      </c>
      <c r="W20" s="32" t="n">
        <f aca="false">Assumptions!$D$10*Assumptions!$H$10*W13</f>
        <v>0.7</v>
      </c>
      <c r="X20" s="32" t="n">
        <f aca="false">Assumptions!$D$10*Assumptions!$H$10*X13</f>
        <v>0.933333333333333</v>
      </c>
      <c r="Y20" s="32" t="n">
        <f aca="false">Assumptions!$D$10*Assumptions!$H$10*Y13</f>
        <v>1.16666666666667</v>
      </c>
      <c r="Z20" s="32" t="n">
        <f aca="false">Assumptions!$D$10*Assumptions!$H$10*Z13</f>
        <v>1.4</v>
      </c>
      <c r="AA20" s="32" t="n">
        <f aca="false">Assumptions!$D$10*Assumptions!$H$10*AA13</f>
        <v>1.63333333333333</v>
      </c>
      <c r="AB20" s="32" t="n">
        <f aca="false">Assumptions!$D$10*Assumptions!$H$10*AB13</f>
        <v>1.86666666666667</v>
      </c>
      <c r="AC20" s="32" t="n">
        <f aca="false">Assumptions!$D$10*Assumptions!$H$10*AC13</f>
        <v>2.1</v>
      </c>
      <c r="AD20" s="32" t="n">
        <f aca="false">Assumptions!$D$10*Assumptions!$H$10*AD13</f>
        <v>2.1</v>
      </c>
      <c r="AE20" s="32" t="n">
        <f aca="false">Assumptions!$D$10*Assumptions!$H$10*AE13</f>
        <v>2.1</v>
      </c>
      <c r="AF20" s="32" t="n">
        <f aca="false">Assumptions!$D$10*Assumptions!$H$10*AF13</f>
        <v>2.1</v>
      </c>
      <c r="AG20" s="32" t="n">
        <f aca="false">Assumptions!$D$10*Assumptions!$H$10*AG13</f>
        <v>2.1</v>
      </c>
      <c r="AH20" s="32" t="n">
        <f aca="false">Assumptions!$D$10*Assumptions!$H$10*AH13</f>
        <v>2.1</v>
      </c>
      <c r="AI20" s="32" t="n">
        <f aca="false">Assumptions!$D$10*Assumptions!$H$10*AI13</f>
        <v>2.1</v>
      </c>
      <c r="AJ20" s="32" t="n">
        <f aca="false">Assumptions!$D$10*Assumptions!$H$10*AJ13</f>
        <v>2.1</v>
      </c>
      <c r="AK20" s="32" t="n">
        <f aca="false">Assumptions!$D$10*Assumptions!$H$10*AK13</f>
        <v>2.1</v>
      </c>
      <c r="AL20" s="32" t="n">
        <f aca="false">Assumptions!$D$10*Assumptions!$H$10*AL13</f>
        <v>2.1</v>
      </c>
      <c r="AM20" s="32" t="n">
        <f aca="false">Assumptions!$D$10*Assumptions!$H$10*AM13</f>
        <v>2.1</v>
      </c>
      <c r="AN20" s="32" t="n">
        <f aca="false">Assumptions!$D$10*Assumptions!$H$10*AN13</f>
        <v>2.1</v>
      </c>
      <c r="AO20" s="32" t="n">
        <f aca="false">Assumptions!$D$10*Assumptions!$H$10*AO13</f>
        <v>2.1</v>
      </c>
      <c r="AP20" s="32" t="n">
        <f aca="false">Assumptions!$D$10*Assumptions!$H$10*AP13</f>
        <v>2.1</v>
      </c>
      <c r="AQ20" s="32" t="n">
        <f aca="false">Assumptions!$D$10*Assumptions!$H$10*AQ13</f>
        <v>2.1</v>
      </c>
      <c r="AR20" s="32" t="n">
        <f aca="false">Assumptions!$D$10*Assumptions!$H$10*AR13</f>
        <v>2.1</v>
      </c>
      <c r="AS20" s="32" t="n">
        <f aca="false">Assumptions!$D$10*Assumptions!$H$10*AS13</f>
        <v>2.1</v>
      </c>
      <c r="AT20" s="32" t="n">
        <f aca="false">Assumptions!$D$10*Assumptions!$H$10*AT13</f>
        <v>2.1</v>
      </c>
      <c r="AU20" s="32" t="n">
        <f aca="false">Assumptions!$D$10*Assumptions!$H$10*AU13</f>
        <v>2.1</v>
      </c>
      <c r="AV20" s="32" t="n">
        <f aca="false">Assumptions!$D$10*Assumptions!$H$10*AV13</f>
        <v>2.1</v>
      </c>
      <c r="AW20" s="32" t="n">
        <f aca="false">Assumptions!$D$10*Assumptions!$H$10*AW13</f>
        <v>2.1</v>
      </c>
      <c r="AX20" s="32" t="n">
        <f aca="false">Assumptions!$D$10*Assumptions!$H$10*AX13</f>
        <v>2.1</v>
      </c>
      <c r="AY20" s="32" t="n">
        <f aca="false">Assumptions!$D$10*Assumptions!$H$10*AY13</f>
        <v>2.1</v>
      </c>
      <c r="AZ20" s="32" t="n">
        <f aca="false">Assumptions!$D$10*Assumptions!$H$10*AZ13</f>
        <v>2.1</v>
      </c>
      <c r="BA20" s="32" t="n">
        <f aca="false">Assumptions!$D$10*Assumptions!$H$10*BA13</f>
        <v>2.1</v>
      </c>
      <c r="BB20" s="32" t="n">
        <f aca="false">Assumptions!$D$10*Assumptions!$H$10*BB13</f>
        <v>2.1</v>
      </c>
      <c r="BC20" s="32" t="n">
        <f aca="false">Assumptions!$D$10*Assumptions!$H$10*BC13</f>
        <v>2.1</v>
      </c>
      <c r="BD20" s="32" t="n">
        <f aca="false">Assumptions!$D$10*Assumptions!$H$10*BD13</f>
        <v>2.1</v>
      </c>
      <c r="BE20" s="32" t="n">
        <f aca="false">Assumptions!$D$10*Assumptions!$H$10*BE13</f>
        <v>2.1</v>
      </c>
      <c r="BF20" s="32" t="n">
        <f aca="false">Assumptions!$D$10*Assumptions!$H$10*BF13</f>
        <v>2.1</v>
      </c>
      <c r="BG20" s="32" t="n">
        <f aca="false">Assumptions!$D$10*Assumptions!$H$10*BG13</f>
        <v>2.1</v>
      </c>
      <c r="BH20" s="32" t="n">
        <f aca="false">Assumptions!$D$10*Assumptions!$H$10*BH13</f>
        <v>2.1</v>
      </c>
      <c r="BI20" s="32" t="n">
        <f aca="false">Assumptions!$D$10*Assumptions!$H$10*BI13</f>
        <v>2.1</v>
      </c>
      <c r="BJ20" s="32" t="n">
        <f aca="false">Assumptions!$D$10*Assumptions!$H$10*BJ13</f>
        <v>2.1</v>
      </c>
    </row>
    <row r="22" customFormat="false" ht="15" hidden="false" customHeight="false" outlineLevel="0" collapsed="false">
      <c r="A22" s="10" t="s">
        <v>119</v>
      </c>
    </row>
    <row r="23" customFormat="false" ht="15" hidden="false" customHeight="false" outlineLevel="0" collapsed="false">
      <c r="A23" s="5" t="s">
        <v>42</v>
      </c>
      <c r="C23" s="32" t="n">
        <f aca="false">C16</f>
        <v>4.11046222222222</v>
      </c>
      <c r="D23" s="32" t="n">
        <f aca="false">C23*(1-Assumptions!$E$26)+D16</f>
        <v>12.2573983466667</v>
      </c>
      <c r="E23" s="32" t="n">
        <f aca="false">D23*(1-Assumptions!$E$26)+E16</f>
        <v>24.3681518430933</v>
      </c>
      <c r="F23" s="32" t="n">
        <f aca="false">E23*(1-Assumptions!$E$26)+F16</f>
        <v>40.3713739988065</v>
      </c>
      <c r="G23" s="32" t="n">
        <f aca="false">F23*(1-Assumptions!$E$26)+G16</f>
        <v>60.1970003779391</v>
      </c>
      <c r="H23" s="32" t="n">
        <f aca="false">G23*(1-Assumptions!$E$26)+H16</f>
        <v>83.7762277044696</v>
      </c>
      <c r="I23" s="32" t="n">
        <f aca="false">H23*(1-Assumptions!$E$26)+I16</f>
        <v>111.041491161345</v>
      </c>
      <c r="J23" s="32" t="n">
        <f aca="false">I23*(1-Assumptions!$E$26)+J16</f>
        <v>141.926442098218</v>
      </c>
      <c r="K23" s="32" t="n">
        <f aca="false">J23*(1-Assumptions!$E$26)+K16</f>
        <v>176.36592614045</v>
      </c>
      <c r="L23" s="32" t="n">
        <f aca="false">K23*(1-Assumptions!$E$26)+L16</f>
        <v>210.185499469922</v>
      </c>
      <c r="M23" s="32" t="n">
        <f aca="false">L23*(1-Assumptions!$E$26)+M16</f>
        <v>243.396320479464</v>
      </c>
      <c r="N23" s="32" t="n">
        <f aca="false">M23*(1-Assumptions!$E$26)+N16</f>
        <v>276.009346710833</v>
      </c>
      <c r="O23" s="32" t="n">
        <f aca="false">N23*(1-Assumptions!$E$26)+O16</f>
        <v>308.035338470038</v>
      </c>
      <c r="P23" s="32" t="n">
        <f aca="false">O23*(1-Assumptions!$E$26)+P16</f>
        <v>339.484862377578</v>
      </c>
      <c r="Q23" s="32" t="n">
        <f aca="false">P23*(1-Assumptions!$E$26)+Q16</f>
        <v>370.368294854781</v>
      </c>
      <c r="R23" s="32" t="n">
        <f aca="false">Q23*(1-Assumptions!$E$26)+R16</f>
        <v>400.695825547395</v>
      </c>
      <c r="S23" s="32" t="n">
        <f aca="false">R23*(1-Assumptions!$E$26)+S16</f>
        <v>430.477460687542</v>
      </c>
      <c r="T23" s="32" t="n">
        <f aca="false">S23*(1-Assumptions!$E$26)+T16</f>
        <v>459.723026395166</v>
      </c>
      <c r="U23" s="32" t="n">
        <f aca="false">T23*(1-Assumptions!$E$26)+U16</f>
        <v>488.442171920053</v>
      </c>
      <c r="V23" s="32" t="n">
        <f aca="false">U23*(1-Assumptions!$E$26)+V16</f>
        <v>516.644372825492</v>
      </c>
      <c r="W23" s="32" t="n">
        <f aca="false">V23*(1-Assumptions!$E$26)+W16</f>
        <v>544.338934114634</v>
      </c>
      <c r="X23" s="32" t="n">
        <f aca="false">W23*(1-Assumptions!$E$26)+X16</f>
        <v>571.53499330057</v>
      </c>
      <c r="Y23" s="32" t="n">
        <f aca="false">X23*(1-Assumptions!$E$26)+Y16</f>
        <v>598.24152342116</v>
      </c>
      <c r="Z23" s="32" t="n">
        <f aca="false">Y23*(1-Assumptions!$E$26)+Z16</f>
        <v>624.467335999579</v>
      </c>
      <c r="AA23" s="32" t="n">
        <f aca="false">Z23*(1-Assumptions!$E$26)+AA16</f>
        <v>650.221083951586</v>
      </c>
      <c r="AB23" s="32" t="n">
        <f aca="false">AA23*(1-Assumptions!$E$26)+AB16</f>
        <v>675.511264440458</v>
      </c>
      <c r="AC23" s="32" t="n">
        <f aca="false">AB23*(1-Assumptions!$E$26)+AC16</f>
        <v>700.34622168053</v>
      </c>
      <c r="AD23" s="32" t="n">
        <f aca="false">AC23*(1-Assumptions!$E$26)+AD16</f>
        <v>724.73414969028</v>
      </c>
      <c r="AE23" s="32" t="n">
        <f aca="false">AD23*(1-Assumptions!$E$26)+AE16</f>
        <v>748.683094995855</v>
      </c>
      <c r="AF23" s="32" t="n">
        <f aca="false">AE23*(1-Assumptions!$E$26)+AF16</f>
        <v>772.20095928593</v>
      </c>
      <c r="AG23" s="32" t="n">
        <f aca="false">AF23*(1-Assumptions!$E$26)+AG16</f>
        <v>795.295502018783</v>
      </c>
      <c r="AH23" s="32" t="n">
        <f aca="false">AG23*(1-Assumptions!$E$26)+AH16</f>
        <v>817.974342982445</v>
      </c>
      <c r="AI23" s="32" t="n">
        <f aca="false">AH23*(1-Assumptions!$E$26)+AI16</f>
        <v>840.244964808761</v>
      </c>
      <c r="AJ23" s="32" t="n">
        <f aca="false">AI23*(1-Assumptions!$E$26)+AJ16</f>
        <v>862.114715442203</v>
      </c>
      <c r="AK23" s="32" t="n">
        <f aca="false">AJ23*(1-Assumptions!$E$26)+AK16</f>
        <v>883.590810564243</v>
      </c>
      <c r="AL23" s="32" t="n">
        <f aca="false">AK23*(1-Assumptions!$E$26)+AL16</f>
        <v>904.680335974087</v>
      </c>
      <c r="AM23" s="32" t="n">
        <f aca="false">AL23*(1-Assumptions!$E$26)+AM16</f>
        <v>925.390249926553</v>
      </c>
      <c r="AN23" s="32" t="n">
        <f aca="false">AM23*(1-Assumptions!$E$26)+AN16</f>
        <v>945.727385427875</v>
      </c>
      <c r="AO23" s="32" t="n">
        <f aca="false">AN23*(1-Assumptions!$E$26)+AO16</f>
        <v>965.698452490173</v>
      </c>
      <c r="AP23" s="32" t="n">
        <f aca="false">AO23*(1-Assumptions!$E$26)+AP16</f>
        <v>985.31004034535</v>
      </c>
      <c r="AQ23" s="32" t="n">
        <f aca="false">AP23*(1-Assumptions!$E$26)+AQ16</f>
        <v>1004.56861961913</v>
      </c>
      <c r="AR23" s="32" t="n">
        <f aca="false">AQ23*(1-Assumptions!$E$26)+AR16</f>
        <v>1023.48054446599</v>
      </c>
      <c r="AS23" s="32" t="n">
        <f aca="false">AR23*(1-Assumptions!$E$26)+AS16</f>
        <v>1042.0520546656</v>
      </c>
      <c r="AT23" s="32" t="n">
        <f aca="false">AS23*(1-Assumptions!$E$26)+AT16</f>
        <v>1060.28927768162</v>
      </c>
      <c r="AU23" s="32" t="n">
        <f aca="false">AT23*(1-Assumptions!$E$26)+AU16</f>
        <v>1078.19823068335</v>
      </c>
      <c r="AV23" s="32" t="n">
        <f aca="false">AU23*(1-Assumptions!$E$26)+AV16</f>
        <v>1095.78482253105</v>
      </c>
      <c r="AW23" s="32" t="n">
        <f aca="false">AV23*(1-Assumptions!$E$26)+AW16</f>
        <v>1113.05485572549</v>
      </c>
      <c r="AX23" s="32" t="n">
        <f aca="false">AW23*(1-Assumptions!$E$26)+AX16</f>
        <v>1130.01402832243</v>
      </c>
      <c r="AY23" s="32" t="n">
        <f aca="false">AX23*(1-Assumptions!$E$26)+AY16</f>
        <v>1146.66793581263</v>
      </c>
      <c r="AZ23" s="32" t="n">
        <f aca="false">AY23*(1-Assumptions!$E$26)+AZ16</f>
        <v>1163.022072968</v>
      </c>
      <c r="BA23" s="32" t="n">
        <f aca="false">AZ23*(1-Assumptions!$E$26)+BA16</f>
        <v>1179.08183565458</v>
      </c>
      <c r="BB23" s="32" t="n">
        <f aca="false">BA23*(1-Assumptions!$E$26)+BB16</f>
        <v>1194.8525226128</v>
      </c>
      <c r="BC23" s="32" t="n">
        <f aca="false">BB23*(1-Assumptions!$E$26)+BC16</f>
        <v>1210.33933720577</v>
      </c>
      <c r="BD23" s="32" t="n">
        <f aca="false">BC23*(1-Assumptions!$E$26)+BD16</f>
        <v>1225.54738913606</v>
      </c>
      <c r="BE23" s="32" t="n">
        <f aca="false">BD23*(1-Assumptions!$E$26)+BE16</f>
        <v>1240.48169613161</v>
      </c>
      <c r="BF23" s="32" t="n">
        <f aca="false">BE23*(1-Assumptions!$E$26)+BF16</f>
        <v>1255.14718560124</v>
      </c>
      <c r="BG23" s="32" t="n">
        <f aca="false">BF23*(1-Assumptions!$E$26)+BG16</f>
        <v>1269.54869626042</v>
      </c>
      <c r="BH23" s="32" t="n">
        <f aca="false">BG23*(1-Assumptions!$E$26)+BH16</f>
        <v>1283.69097972773</v>
      </c>
      <c r="BI23" s="32" t="n">
        <f aca="false">BH23*(1-Assumptions!$E$26)+BI16</f>
        <v>1297.57870209263</v>
      </c>
      <c r="BJ23" s="32" t="n">
        <f aca="false">BI23*(1-Assumptions!$E$26)+BJ16</f>
        <v>1311.21644545497</v>
      </c>
    </row>
    <row r="24" customFormat="false" ht="15" hidden="false" customHeight="false" outlineLevel="0" collapsed="false">
      <c r="A24" s="5" t="s">
        <v>44</v>
      </c>
      <c r="C24" s="32" t="n">
        <f aca="false">C17</f>
        <v>0</v>
      </c>
      <c r="D24" s="32" t="n">
        <f aca="false">C24*(1-Assumptions!$E$26)+D17</f>
        <v>0</v>
      </c>
      <c r="E24" s="32" t="n">
        <f aca="false">D24*(1-Assumptions!$E$26)+E17</f>
        <v>0</v>
      </c>
      <c r="F24" s="32" t="n">
        <f aca="false">E24*(1-Assumptions!$E$26)+F17</f>
        <v>0</v>
      </c>
      <c r="G24" s="32" t="n">
        <f aca="false">F24*(1-Assumptions!$E$26)+G17</f>
        <v>0</v>
      </c>
      <c r="H24" s="32" t="n">
        <f aca="false">G24*(1-Assumptions!$E$26)+H17</f>
        <v>0</v>
      </c>
      <c r="I24" s="32" t="n">
        <f aca="false">H24*(1-Assumptions!$E$26)+I17</f>
        <v>1.04</v>
      </c>
      <c r="J24" s="32" t="n">
        <f aca="false">I24*(1-Assumptions!$E$26)+J17</f>
        <v>3.10128</v>
      </c>
      <c r="K24" s="32" t="n">
        <f aca="false">J24*(1-Assumptions!$E$26)+K17</f>
        <v>6.16545696</v>
      </c>
      <c r="L24" s="32" t="n">
        <f aca="false">K24*(1-Assumptions!$E$26)+L17</f>
        <v>10.21447873472</v>
      </c>
      <c r="M24" s="32" t="n">
        <f aca="false">L24*(1-Assumptions!$E$26)+M17</f>
        <v>15.230618117495</v>
      </c>
      <c r="N24" s="32" t="n">
        <f aca="false">M24*(1-Assumptions!$E$26)+N17</f>
        <v>21.1964669913801</v>
      </c>
      <c r="O24" s="32" t="n">
        <f aca="false">N24*(1-Assumptions!$E$26)+O17</f>
        <v>28.0949305855353</v>
      </c>
      <c r="P24" s="32" t="n">
        <f aca="false">O24*(1-Assumptions!$E$26)+P17</f>
        <v>35.9092218349957</v>
      </c>
      <c r="Q24" s="32" t="n">
        <f aca="false">P24*(1-Assumptions!$E$26)+Q17</f>
        <v>44.6228558419657</v>
      </c>
      <c r="R24" s="32" t="n">
        <f aca="false">Q24*(1-Assumptions!$E$26)+R17</f>
        <v>53.1796444368103</v>
      </c>
      <c r="S24" s="32" t="n">
        <f aca="false">R24*(1-Assumptions!$E$26)+S17</f>
        <v>61.5824108369478</v>
      </c>
      <c r="T24" s="32" t="n">
        <f aca="false">S24*(1-Assumptions!$E$26)+T17</f>
        <v>69.8339274418827</v>
      </c>
      <c r="U24" s="32" t="n">
        <f aca="false">T24*(1-Assumptions!$E$26)+U17</f>
        <v>77.9369167479288</v>
      </c>
      <c r="V24" s="32" t="n">
        <f aca="false">U24*(1-Assumptions!$E$26)+V17</f>
        <v>85.8940522464661</v>
      </c>
      <c r="W24" s="32" t="n">
        <f aca="false">V24*(1-Assumptions!$E$26)+W17</f>
        <v>93.7079593060297</v>
      </c>
      <c r="X24" s="32" t="n">
        <f aca="false">W24*(1-Assumptions!$E$26)+X17</f>
        <v>101.381216038521</v>
      </c>
      <c r="Y24" s="32" t="n">
        <f aca="false">X24*(1-Assumptions!$E$26)+Y17</f>
        <v>108.916354149828</v>
      </c>
      <c r="Z24" s="32" t="n">
        <f aca="false">Y24*(1-Assumptions!$E$26)+Z17</f>
        <v>116.315859775131</v>
      </c>
      <c r="AA24" s="32" t="n">
        <f aca="false">Z24*(1-Assumptions!$E$26)+AA17</f>
        <v>123.582174299179</v>
      </c>
      <c r="AB24" s="32" t="n">
        <f aca="false">AA24*(1-Assumptions!$E$26)+AB17</f>
        <v>130.717695161793</v>
      </c>
      <c r="AC24" s="32" t="n">
        <f aca="false">AB24*(1-Assumptions!$E$26)+AC17</f>
        <v>137.724776648881</v>
      </c>
      <c r="AD24" s="32" t="n">
        <f aca="false">AC24*(1-Assumptions!$E$26)+AD17</f>
        <v>144.605730669201</v>
      </c>
      <c r="AE24" s="32" t="n">
        <f aca="false">AD24*(1-Assumptions!$E$26)+AE17</f>
        <v>151.362827517156</v>
      </c>
      <c r="AF24" s="32" t="n">
        <f aca="false">AE24*(1-Assumptions!$E$26)+AF17</f>
        <v>157.998296621847</v>
      </c>
      <c r="AG24" s="32" t="n">
        <f aca="false">AF24*(1-Assumptions!$E$26)+AG17</f>
        <v>164.514327282653</v>
      </c>
      <c r="AH24" s="32" t="n">
        <f aca="false">AG24*(1-Assumptions!$E$26)+AH17</f>
        <v>170.913069391566</v>
      </c>
      <c r="AI24" s="32" t="n">
        <f aca="false">AH24*(1-Assumptions!$E$26)+AI17</f>
        <v>177.196634142518</v>
      </c>
      <c r="AJ24" s="32" t="n">
        <f aca="false">AI24*(1-Assumptions!$E$26)+AJ17</f>
        <v>183.367094727952</v>
      </c>
      <c r="AK24" s="32" t="n">
        <f aca="false">AJ24*(1-Assumptions!$E$26)+AK17</f>
        <v>189.426487022849</v>
      </c>
      <c r="AL24" s="32" t="n">
        <f aca="false">AK24*(1-Assumptions!$E$26)+AL17</f>
        <v>195.376810256438</v>
      </c>
      <c r="AM24" s="32" t="n">
        <f aca="false">AL24*(1-Assumptions!$E$26)+AM17</f>
        <v>201.220027671822</v>
      </c>
      <c r="AN24" s="32" t="n">
        <f aca="false">AM24*(1-Assumptions!$E$26)+AN17</f>
        <v>206.958067173729</v>
      </c>
      <c r="AO24" s="32" t="n">
        <f aca="false">AN24*(1-Assumptions!$E$26)+AO17</f>
        <v>212.592821964602</v>
      </c>
      <c r="AP24" s="32" t="n">
        <f aca="false">AO24*(1-Assumptions!$E$26)+AP17</f>
        <v>218.126151169239</v>
      </c>
      <c r="AQ24" s="32" t="n">
        <f aca="false">AP24*(1-Assumptions!$E$26)+AQ17</f>
        <v>223.559880448193</v>
      </c>
      <c r="AR24" s="32" t="n">
        <f aca="false">AQ24*(1-Assumptions!$E$26)+AR17</f>
        <v>228.895802600125</v>
      </c>
      <c r="AS24" s="32" t="n">
        <f aca="false">AR24*(1-Assumptions!$E$26)+AS17</f>
        <v>234.135678153323</v>
      </c>
      <c r="AT24" s="32" t="n">
        <f aca="false">AS24*(1-Assumptions!$E$26)+AT17</f>
        <v>239.281235946563</v>
      </c>
      <c r="AU24" s="32" t="n">
        <f aca="false">AT24*(1-Assumptions!$E$26)+AU17</f>
        <v>244.334173699525</v>
      </c>
      <c r="AV24" s="32" t="n">
        <f aca="false">AU24*(1-Assumptions!$E$26)+AV17</f>
        <v>249.296158572934</v>
      </c>
      <c r="AW24" s="32" t="n">
        <f aca="false">AV24*(1-Assumptions!$E$26)+AW17</f>
        <v>254.168827718621</v>
      </c>
      <c r="AX24" s="32" t="n">
        <f aca="false">AW24*(1-Assumptions!$E$26)+AX17</f>
        <v>258.953788819686</v>
      </c>
      <c r="AY24" s="32" t="n">
        <f aca="false">AX24*(1-Assumptions!$E$26)+AY17</f>
        <v>263.652620620931</v>
      </c>
      <c r="AZ24" s="32" t="n">
        <f aca="false">AY24*(1-Assumptions!$E$26)+AZ17</f>
        <v>268.266873449755</v>
      </c>
      <c r="BA24" s="32" t="n">
        <f aca="false">AZ24*(1-Assumptions!$E$26)+BA17</f>
        <v>272.798069727659</v>
      </c>
      <c r="BB24" s="32" t="n">
        <f aca="false">BA24*(1-Assumptions!$E$26)+BB17</f>
        <v>277.247704472561</v>
      </c>
      <c r="BC24" s="32" t="n">
        <f aca="false">BB24*(1-Assumptions!$E$26)+BC17</f>
        <v>281.617245792055</v>
      </c>
      <c r="BD24" s="32" t="n">
        <f aca="false">BC24*(1-Assumptions!$E$26)+BD17</f>
        <v>285.908135367798</v>
      </c>
      <c r="BE24" s="32" t="n">
        <f aca="false">BD24*(1-Assumptions!$E$26)+BE17</f>
        <v>290.121788931178</v>
      </c>
      <c r="BF24" s="32" t="n">
        <f aca="false">BE24*(1-Assumptions!$E$26)+BF17</f>
        <v>294.259596730417</v>
      </c>
      <c r="BG24" s="32" t="n">
        <f aca="false">BF24*(1-Assumptions!$E$26)+BG17</f>
        <v>298.322923989269</v>
      </c>
      <c r="BH24" s="32" t="n">
        <f aca="false">BG24*(1-Assumptions!$E$26)+BH17</f>
        <v>302.313111357462</v>
      </c>
      <c r="BI24" s="32" t="n">
        <f aca="false">BH24*(1-Assumptions!$E$26)+BI17</f>
        <v>306.231475353028</v>
      </c>
      <c r="BJ24" s="32" t="n">
        <f aca="false">BI24*(1-Assumptions!$E$26)+BJ17</f>
        <v>310.079308796673</v>
      </c>
    </row>
    <row r="25" customFormat="false" ht="15" hidden="false" customHeight="false" outlineLevel="0" collapsed="false">
      <c r="A25" s="5" t="s">
        <v>46</v>
      </c>
      <c r="C25" s="32" t="n">
        <f aca="false">C18</f>
        <v>0</v>
      </c>
      <c r="D25" s="32" t="n">
        <f aca="false">C25*(1-Assumptions!$E$26)+D18</f>
        <v>0</v>
      </c>
      <c r="E25" s="32" t="n">
        <f aca="false">D25*(1-Assumptions!$E$26)+E18</f>
        <v>0</v>
      </c>
      <c r="F25" s="32" t="n">
        <f aca="false">E25*(1-Assumptions!$E$26)+F18</f>
        <v>0</v>
      </c>
      <c r="G25" s="32" t="n">
        <f aca="false">F25*(1-Assumptions!$E$26)+G18</f>
        <v>0</v>
      </c>
      <c r="H25" s="32" t="n">
        <f aca="false">G25*(1-Assumptions!$E$26)+H18</f>
        <v>0</v>
      </c>
      <c r="I25" s="32" t="n">
        <f aca="false">H25*(1-Assumptions!$E$26)+I18</f>
        <v>0.466666666666667</v>
      </c>
      <c r="J25" s="32" t="n">
        <f aca="false">I25*(1-Assumptions!$E$26)+J18</f>
        <v>1.3916</v>
      </c>
      <c r="K25" s="32" t="n">
        <f aca="false">J25*(1-Assumptions!$E$26)+K18</f>
        <v>2.7665512</v>
      </c>
      <c r="L25" s="32" t="n">
        <f aca="false">K25*(1-Assumptions!$E$26)+L18</f>
        <v>4.58341994506667</v>
      </c>
      <c r="M25" s="32" t="n">
        <f aca="false">L25*(1-Assumptions!$E$26)+M18</f>
        <v>6.8342517193888</v>
      </c>
      <c r="N25" s="32" t="n">
        <f aca="false">M25*(1-Assumptions!$E$26)+N18</f>
        <v>9.5112351884398</v>
      </c>
      <c r="O25" s="32" t="n">
        <f aca="false">N25*(1-Assumptions!$E$26)+O18</f>
        <v>12.6066996217146</v>
      </c>
      <c r="P25" s="32" t="n">
        <f aca="false">O25*(1-Assumptions!$E$26)+P18</f>
        <v>16.113112361857</v>
      </c>
      <c r="Q25" s="32" t="n">
        <f aca="false">P25*(1-Assumptions!$E$26)+Q18</f>
        <v>20.0230763393436</v>
      </c>
      <c r="R25" s="32" t="n">
        <f aca="false">Q25*(1-Assumptions!$E$26)+R18</f>
        <v>23.8626609652354</v>
      </c>
      <c r="S25" s="32" t="n">
        <f aca="false">R25*(1-Assumptions!$E$26)+S18</f>
        <v>27.6331330678612</v>
      </c>
      <c r="T25" s="32" t="n">
        <f aca="false">S25*(1-Assumptions!$E$26)+T18</f>
        <v>31.3357366726397</v>
      </c>
      <c r="U25" s="32" t="n">
        <f aca="false">T25*(1-Assumptions!$E$26)+U18</f>
        <v>34.9716934125322</v>
      </c>
      <c r="V25" s="32" t="n">
        <f aca="false">U25*(1-Assumptions!$E$26)+V18</f>
        <v>38.5422029311066</v>
      </c>
      <c r="W25" s="32" t="n">
        <f aca="false">V25*(1-Assumptions!$E$26)+W18</f>
        <v>42.0484432783467</v>
      </c>
      <c r="X25" s="32" t="n">
        <f aca="false">W25*(1-Assumptions!$E$26)+X18</f>
        <v>45.4915712993364</v>
      </c>
      <c r="Y25" s="32" t="n">
        <f aca="false">X25*(1-Assumptions!$E$26)+Y18</f>
        <v>48.8727230159484</v>
      </c>
      <c r="Z25" s="32" t="n">
        <f aca="false">Y25*(1-Assumptions!$E$26)+Z18</f>
        <v>52.1930140016613</v>
      </c>
      <c r="AA25" s="32" t="n">
        <f aca="false">Z25*(1-Assumptions!$E$26)+AA18</f>
        <v>55.4535397496314</v>
      </c>
      <c r="AB25" s="32" t="n">
        <f aca="false">AA25*(1-Assumptions!$E$26)+AB18</f>
        <v>58.655376034138</v>
      </c>
      <c r="AC25" s="32" t="n">
        <f aca="false">AB25*(1-Assumptions!$E$26)+AC18</f>
        <v>61.7995792655236</v>
      </c>
      <c r="AD25" s="32" t="n">
        <f aca="false">AC25*(1-Assumptions!$E$26)+AD18</f>
        <v>64.8871868387441</v>
      </c>
      <c r="AE25" s="32" t="n">
        <f aca="false">AD25*(1-Assumptions!$E$26)+AE18</f>
        <v>67.9192174756467</v>
      </c>
      <c r="AF25" s="32" t="n">
        <f aca="false">AE25*(1-Assumptions!$E$26)+AF18</f>
        <v>70.8966715610851</v>
      </c>
      <c r="AG25" s="32" t="n">
        <f aca="false">AF25*(1-Assumptions!$E$26)+AG18</f>
        <v>73.8205314729856</v>
      </c>
      <c r="AH25" s="32" t="n">
        <f aca="false">AG25*(1-Assumptions!$E$26)+AH18</f>
        <v>76.6917619064718</v>
      </c>
      <c r="AI25" s="32" t="n">
        <f aca="false">AH25*(1-Assumptions!$E$26)+AI18</f>
        <v>79.5113101921553</v>
      </c>
      <c r="AJ25" s="32" t="n">
        <f aca="false">AI25*(1-Assumptions!$E$26)+AJ18</f>
        <v>82.2801066086965</v>
      </c>
      <c r="AK25" s="32" t="n">
        <f aca="false">AJ25*(1-Assumptions!$E$26)+AK18</f>
        <v>84.99906468974</v>
      </c>
      <c r="AL25" s="32" t="n">
        <f aca="false">AK25*(1-Assumptions!$E$26)+AL18</f>
        <v>87.6690815253247</v>
      </c>
      <c r="AM25" s="32" t="n">
        <f aca="false">AL25*(1-Assumptions!$E$26)+AM18</f>
        <v>90.2910380578689</v>
      </c>
      <c r="AN25" s="32" t="n">
        <f aca="false">AM25*(1-Assumptions!$E$26)+AN18</f>
        <v>92.8657993728272</v>
      </c>
      <c r="AO25" s="32" t="n">
        <f aca="false">AN25*(1-Assumptions!$E$26)+AO18</f>
        <v>95.3942149841163</v>
      </c>
      <c r="AP25" s="32" t="n">
        <f aca="false">AO25*(1-Assumptions!$E$26)+AP18</f>
        <v>97.8771191144022</v>
      </c>
      <c r="AQ25" s="32" t="n">
        <f aca="false">AP25*(1-Assumptions!$E$26)+AQ18</f>
        <v>100.315330970343</v>
      </c>
      <c r="AR25" s="32" t="n">
        <f aca="false">AQ25*(1-Assumptions!$E$26)+AR18</f>
        <v>102.709655012877</v>
      </c>
      <c r="AS25" s="32" t="n">
        <f aca="false">AR25*(1-Assumptions!$E$26)+AS18</f>
        <v>105.060881222645</v>
      </c>
      <c r="AT25" s="32" t="n">
        <f aca="false">AS25*(1-Assumptions!$E$26)+AT18</f>
        <v>107.369785360637</v>
      </c>
      <c r="AU25" s="32" t="n">
        <f aca="false">AT25*(1-Assumptions!$E$26)+AU18</f>
        <v>109.637129224146</v>
      </c>
      <c r="AV25" s="32" t="n">
        <f aca="false">AU25*(1-Assumptions!$E$26)+AV18</f>
        <v>111.863660898111</v>
      </c>
      <c r="AW25" s="32" t="n">
        <f aca="false">AV25*(1-Assumptions!$E$26)+AW18</f>
        <v>114.050115001945</v>
      </c>
      <c r="AX25" s="32" t="n">
        <f aca="false">AW25*(1-Assumptions!$E$26)+AX18</f>
        <v>116.19721293191</v>
      </c>
      <c r="AY25" s="32" t="n">
        <f aca="false">AX25*(1-Assumptions!$E$26)+AY18</f>
        <v>118.305663099136</v>
      </c>
      <c r="AZ25" s="32" t="n">
        <f aca="false">AY25*(1-Assumptions!$E$26)+AZ18</f>
        <v>120.376161163351</v>
      </c>
      <c r="BA25" s="32" t="n">
        <f aca="false">AZ25*(1-Assumptions!$E$26)+BA18</f>
        <v>122.409390262411</v>
      </c>
      <c r="BB25" s="32" t="n">
        <f aca="false">BA25*(1-Assumptions!$E$26)+BB18</f>
        <v>124.406021237688</v>
      </c>
      <c r="BC25" s="32" t="n">
        <f aca="false">BB25*(1-Assumptions!$E$26)+BC18</f>
        <v>126.366712855409</v>
      </c>
      <c r="BD25" s="32" t="n">
        <f aca="false">BC25*(1-Assumptions!$E$26)+BD18</f>
        <v>128.292112024012</v>
      </c>
      <c r="BE25" s="32" t="n">
        <f aca="false">BD25*(1-Assumptions!$E$26)+BE18</f>
        <v>130.18285400758</v>
      </c>
      <c r="BF25" s="32" t="n">
        <f aca="false">BE25*(1-Assumptions!$E$26)+BF18</f>
        <v>132.039562635443</v>
      </c>
      <c r="BG25" s="32" t="n">
        <f aca="false">BF25*(1-Assumptions!$E$26)+BG18</f>
        <v>133.862850508005</v>
      </c>
      <c r="BH25" s="32" t="n">
        <f aca="false">BG25*(1-Assumptions!$E$26)+BH18</f>
        <v>135.653319198861</v>
      </c>
      <c r="BI25" s="32" t="n">
        <f aca="false">BH25*(1-Assumptions!$E$26)+BI18</f>
        <v>137.411559453282</v>
      </c>
      <c r="BJ25" s="32" t="n">
        <f aca="false">BI25*(1-Assumptions!$E$26)+BJ18</f>
        <v>139.138151383123</v>
      </c>
    </row>
    <row r="26" customFormat="false" ht="15" hidden="false" customHeight="false" outlineLevel="0" collapsed="false">
      <c r="A26" s="5" t="s">
        <v>48</v>
      </c>
      <c r="C26" s="32" t="n">
        <f aca="false">C19</f>
        <v>0</v>
      </c>
      <c r="D26" s="32" t="n">
        <f aca="false">C26*(1-Assumptions!$E$26)+D19</f>
        <v>0</v>
      </c>
      <c r="E26" s="32" t="n">
        <f aca="false">D26*(1-Assumptions!$E$26)+E19</f>
        <v>0</v>
      </c>
      <c r="F26" s="32" t="n">
        <f aca="false">E26*(1-Assumptions!$E$26)+F19</f>
        <v>0</v>
      </c>
      <c r="G26" s="32" t="n">
        <f aca="false">F26*(1-Assumptions!$E$26)+G19</f>
        <v>0</v>
      </c>
      <c r="H26" s="32" t="n">
        <f aca="false">G26*(1-Assumptions!$E$26)+H19</f>
        <v>0</v>
      </c>
      <c r="I26" s="32" t="n">
        <f aca="false">H26*(1-Assumptions!$E$26)+I19</f>
        <v>0</v>
      </c>
      <c r="J26" s="32" t="n">
        <f aca="false">I26*(1-Assumptions!$E$26)+J19</f>
        <v>0</v>
      </c>
      <c r="K26" s="32" t="n">
        <f aca="false">J26*(1-Assumptions!$E$26)+K19</f>
        <v>0</v>
      </c>
      <c r="L26" s="32" t="n">
        <f aca="false">K26*(1-Assumptions!$E$26)+L19</f>
        <v>0</v>
      </c>
      <c r="M26" s="32" t="n">
        <f aca="false">L26*(1-Assumptions!$E$26)+M19</f>
        <v>0</v>
      </c>
      <c r="N26" s="32" t="n">
        <f aca="false">M26*(1-Assumptions!$E$26)+N19</f>
        <v>0</v>
      </c>
      <c r="O26" s="32" t="n">
        <f aca="false">N26*(1-Assumptions!$E$26)+O19</f>
        <v>0</v>
      </c>
      <c r="P26" s="32" t="n">
        <f aca="false">O26*(1-Assumptions!$E$26)+P19</f>
        <v>0</v>
      </c>
      <c r="Q26" s="32" t="n">
        <f aca="false">P26*(1-Assumptions!$E$26)+Q19</f>
        <v>0</v>
      </c>
      <c r="R26" s="32" t="n">
        <f aca="false">Q26*(1-Assumptions!$E$26)+R19</f>
        <v>0</v>
      </c>
      <c r="S26" s="32" t="n">
        <f aca="false">R26*(1-Assumptions!$E$26)+S19</f>
        <v>0</v>
      </c>
      <c r="T26" s="32" t="n">
        <f aca="false">S26*(1-Assumptions!$E$26)+T19</f>
        <v>0</v>
      </c>
      <c r="U26" s="32" t="n">
        <f aca="false">T26*(1-Assumptions!$E$26)+U19</f>
        <v>0.34713</v>
      </c>
      <c r="V26" s="32" t="n">
        <f aca="false">U26*(1-Assumptions!$E$26)+V19</f>
        <v>1.03514166</v>
      </c>
      <c r="W26" s="32" t="n">
        <f aca="false">V26*(1-Assumptions!$E$26)+W19</f>
        <v>2.05789911012</v>
      </c>
      <c r="X26" s="32" t="n">
        <f aca="false">W26*(1-Assumptions!$E$26)+X19</f>
        <v>3.40937692613784</v>
      </c>
      <c r="Y26" s="32" t="n">
        <f aca="false">X26*(1-Assumptions!$E$26)+Y19</f>
        <v>5.08365814146736</v>
      </c>
      <c r="Z26" s="32" t="n">
        <f aca="false">Y26*(1-Assumptions!$E$26)+Z19</f>
        <v>7.07493229492095</v>
      </c>
      <c r="AA26" s="32" t="n">
        <f aca="false">Z26*(1-Assumptions!$E$26)+AA19</f>
        <v>9.37749351361237</v>
      </c>
      <c r="AB26" s="32" t="n">
        <f aca="false">AA26*(1-Assumptions!$E$26)+AB19</f>
        <v>11.9857386303673</v>
      </c>
      <c r="AC26" s="32" t="n">
        <f aca="false">AB26*(1-Assumptions!$E$26)+AC19</f>
        <v>14.8941653350207</v>
      </c>
      <c r="AD26" s="32" t="n">
        <f aca="false">AC26*(1-Assumptions!$E$26)+AD19</f>
        <v>17.7502403589904</v>
      </c>
      <c r="AE26" s="32" t="n">
        <f aca="false">AD26*(1-Assumptions!$E$26)+AE19</f>
        <v>20.5549060325285</v>
      </c>
      <c r="AF26" s="32" t="n">
        <f aca="false">AE26*(1-Assumptions!$E$26)+AF19</f>
        <v>23.309087723943</v>
      </c>
      <c r="AG26" s="32" t="n">
        <f aca="false">AF26*(1-Assumptions!$E$26)+AG19</f>
        <v>26.013694144912</v>
      </c>
      <c r="AH26" s="32" t="n">
        <f aca="false">AG26*(1-Assumptions!$E$26)+AH19</f>
        <v>28.6696176503036</v>
      </c>
      <c r="AI26" s="32" t="n">
        <f aca="false">AH26*(1-Assumptions!$E$26)+AI19</f>
        <v>31.2777345325982</v>
      </c>
      <c r="AJ26" s="32" t="n">
        <f aca="false">AI26*(1-Assumptions!$E$26)+AJ19</f>
        <v>33.8389053110114</v>
      </c>
      <c r="AK26" s="32" t="n">
        <f aca="false">AJ26*(1-Assumptions!$E$26)+AK19</f>
        <v>36.3539750154132</v>
      </c>
      <c r="AL26" s="32" t="n">
        <f aca="false">AK26*(1-Assumptions!$E$26)+AL19</f>
        <v>38.8237734651357</v>
      </c>
      <c r="AM26" s="32" t="n">
        <f aca="false">AL26*(1-Assumptions!$E$26)+AM19</f>
        <v>41.2491155427633</v>
      </c>
      <c r="AN26" s="32" t="n">
        <f aca="false">AM26*(1-Assumptions!$E$26)+AN19</f>
        <v>43.6308014629936</v>
      </c>
      <c r="AO26" s="32" t="n">
        <f aca="false">AN26*(1-Assumptions!$E$26)+AO19</f>
        <v>45.9696170366597</v>
      </c>
      <c r="AP26" s="32" t="n">
        <f aca="false">AO26*(1-Assumptions!$E$26)+AP19</f>
        <v>48.2663339299998</v>
      </c>
      <c r="AQ26" s="32" t="n">
        <f aca="false">AP26*(1-Assumptions!$E$26)+AQ19</f>
        <v>50.5217099192598</v>
      </c>
      <c r="AR26" s="32" t="n">
        <f aca="false">AQ26*(1-Assumptions!$E$26)+AR19</f>
        <v>52.7364891407131</v>
      </c>
      <c r="AS26" s="32" t="n">
        <f aca="false">AR26*(1-Assumptions!$E$26)+AS19</f>
        <v>54.9114023361803</v>
      </c>
      <c r="AT26" s="32" t="n">
        <f aca="false">AS26*(1-Assumptions!$E$26)+AT19</f>
        <v>57.047167094129</v>
      </c>
      <c r="AU26" s="32" t="n">
        <f aca="false">AT26*(1-Assumptions!$E$26)+AU19</f>
        <v>59.1444880864347</v>
      </c>
      <c r="AV26" s="32" t="n">
        <f aca="false">AU26*(1-Assumptions!$E$26)+AV19</f>
        <v>61.2040573008789</v>
      </c>
      <c r="AW26" s="32" t="n">
        <f aca="false">AV26*(1-Assumptions!$E$26)+AW19</f>
        <v>63.2265542694631</v>
      </c>
      <c r="AX26" s="32" t="n">
        <f aca="false">AW26*(1-Assumptions!$E$26)+AX19</f>
        <v>65.2126462926127</v>
      </c>
      <c r="AY26" s="32" t="n">
        <f aca="false">AX26*(1-Assumptions!$E$26)+AY19</f>
        <v>67.1629886593457</v>
      </c>
      <c r="AZ26" s="32" t="n">
        <f aca="false">AY26*(1-Assumptions!$E$26)+AZ19</f>
        <v>69.0782248634775</v>
      </c>
      <c r="BA26" s="32" t="n">
        <f aca="false">AZ26*(1-Assumptions!$E$26)+BA19</f>
        <v>70.9589868159349</v>
      </c>
      <c r="BB26" s="32" t="n">
        <f aca="false">BA26*(1-Assumptions!$E$26)+BB19</f>
        <v>72.805895053248</v>
      </c>
      <c r="BC26" s="32" t="n">
        <f aca="false">BB26*(1-Assumptions!$E$26)+BC19</f>
        <v>74.6195589422896</v>
      </c>
      <c r="BD26" s="32" t="n">
        <f aca="false">BC26*(1-Assumptions!$E$26)+BD19</f>
        <v>76.4005768813283</v>
      </c>
      <c r="BE26" s="32" t="n">
        <f aca="false">BD26*(1-Assumptions!$E$26)+BE19</f>
        <v>78.1495364974644</v>
      </c>
      <c r="BF26" s="32" t="n">
        <f aca="false">BE26*(1-Assumptions!$E$26)+BF19</f>
        <v>79.8670148405101</v>
      </c>
      <c r="BG26" s="32" t="n">
        <f aca="false">BF26*(1-Assumptions!$E$26)+BG19</f>
        <v>81.5535785733809</v>
      </c>
      <c r="BH26" s="32" t="n">
        <f aca="false">BG26*(1-Assumptions!$E$26)+BH19</f>
        <v>83.20978415906</v>
      </c>
      <c r="BI26" s="32" t="n">
        <f aca="false">BH26*(1-Assumptions!$E$26)+BI19</f>
        <v>84.8361780441969</v>
      </c>
      <c r="BJ26" s="32" t="n">
        <f aca="false">BI26*(1-Assumptions!$E$26)+BJ19</f>
        <v>86.4332968394014</v>
      </c>
    </row>
    <row r="27" customFormat="false" ht="15" hidden="false" customHeight="false" outlineLevel="0" collapsed="false">
      <c r="A27" s="5" t="s">
        <v>50</v>
      </c>
      <c r="C27" s="32" t="n">
        <f aca="false">C20</f>
        <v>0</v>
      </c>
      <c r="D27" s="32" t="n">
        <f aca="false">C27*(1-Assumptions!$E$26)+D20</f>
        <v>0</v>
      </c>
      <c r="E27" s="32" t="n">
        <f aca="false">D27*(1-Assumptions!$E$26)+E20</f>
        <v>0</v>
      </c>
      <c r="F27" s="32" t="n">
        <f aca="false">E27*(1-Assumptions!$E$26)+F20</f>
        <v>0</v>
      </c>
      <c r="G27" s="32" t="n">
        <f aca="false">F27*(1-Assumptions!$E$26)+G20</f>
        <v>0</v>
      </c>
      <c r="H27" s="32" t="n">
        <f aca="false">G27*(1-Assumptions!$E$26)+H20</f>
        <v>0</v>
      </c>
      <c r="I27" s="32" t="n">
        <f aca="false">H27*(1-Assumptions!$E$26)+I20</f>
        <v>0</v>
      </c>
      <c r="J27" s="32" t="n">
        <f aca="false">I27*(1-Assumptions!$E$26)+J20</f>
        <v>0</v>
      </c>
      <c r="K27" s="32" t="n">
        <f aca="false">J27*(1-Assumptions!$E$26)+K20</f>
        <v>0</v>
      </c>
      <c r="L27" s="32" t="n">
        <f aca="false">K27*(1-Assumptions!$E$26)+L20</f>
        <v>0</v>
      </c>
      <c r="M27" s="32" t="n">
        <f aca="false">L27*(1-Assumptions!$E$26)+M20</f>
        <v>0</v>
      </c>
      <c r="N27" s="32" t="n">
        <f aca="false">M27*(1-Assumptions!$E$26)+N20</f>
        <v>0</v>
      </c>
      <c r="O27" s="32" t="n">
        <f aca="false">N27*(1-Assumptions!$E$26)+O20</f>
        <v>0</v>
      </c>
      <c r="P27" s="32" t="n">
        <f aca="false">O27*(1-Assumptions!$E$26)+P20</f>
        <v>0</v>
      </c>
      <c r="Q27" s="32" t="n">
        <f aca="false">P27*(1-Assumptions!$E$26)+Q20</f>
        <v>0</v>
      </c>
      <c r="R27" s="32" t="n">
        <f aca="false">Q27*(1-Assumptions!$E$26)+R20</f>
        <v>0</v>
      </c>
      <c r="S27" s="32" t="n">
        <f aca="false">R27*(1-Assumptions!$E$26)+S20</f>
        <v>0</v>
      </c>
      <c r="T27" s="32" t="n">
        <f aca="false">S27*(1-Assumptions!$E$26)+T20</f>
        <v>0</v>
      </c>
      <c r="U27" s="32" t="n">
        <f aca="false">T27*(1-Assumptions!$E$26)+U20</f>
        <v>0.233333333333333</v>
      </c>
      <c r="V27" s="32" t="n">
        <f aca="false">U27*(1-Assumptions!$E$26)+V20</f>
        <v>0.6958</v>
      </c>
      <c r="W27" s="32" t="n">
        <f aca="false">V27*(1-Assumptions!$E$26)+W20</f>
        <v>1.3832756</v>
      </c>
      <c r="X27" s="32" t="n">
        <f aca="false">W27*(1-Assumptions!$E$26)+X20</f>
        <v>2.29170997253333</v>
      </c>
      <c r="Y27" s="32" t="n">
        <f aca="false">X27*(1-Assumptions!$E$26)+Y20</f>
        <v>3.4171258596944</v>
      </c>
      <c r="Z27" s="32" t="n">
        <f aca="false">Y27*(1-Assumptions!$E$26)+Z20</f>
        <v>4.7556175942199</v>
      </c>
      <c r="AA27" s="32" t="n">
        <f aca="false">Z27*(1-Assumptions!$E$26)+AA20</f>
        <v>6.30334981085727</v>
      </c>
      <c r="AB27" s="32" t="n">
        <f aca="false">AA27*(1-Assumptions!$E$26)+AB20</f>
        <v>8.05655618092851</v>
      </c>
      <c r="AC27" s="32" t="n">
        <f aca="false">AB27*(1-Assumptions!$E$26)+AC20</f>
        <v>10.0115381696718</v>
      </c>
      <c r="AD27" s="32" t="n">
        <f aca="false">AC27*(1-Assumptions!$E$26)+AD20</f>
        <v>11.9313304826177</v>
      </c>
      <c r="AE27" s="32" t="n">
        <f aca="false">AD27*(1-Assumptions!$E$26)+AE20</f>
        <v>13.8165665339306</v>
      </c>
      <c r="AF27" s="32" t="n">
        <f aca="false">AE27*(1-Assumptions!$E$26)+AF20</f>
        <v>15.6678683363198</v>
      </c>
      <c r="AG27" s="32" t="n">
        <f aca="false">AF27*(1-Assumptions!$E$26)+AG20</f>
        <v>17.4858467062661</v>
      </c>
      <c r="AH27" s="32" t="n">
        <f aca="false">AG27*(1-Assumptions!$E$26)+AH20</f>
        <v>19.2711014655533</v>
      </c>
      <c r="AI27" s="32" t="n">
        <f aca="false">AH27*(1-Assumptions!$E$26)+AI20</f>
        <v>21.0242216391733</v>
      </c>
      <c r="AJ27" s="32" t="n">
        <f aca="false">AI27*(1-Assumptions!$E$26)+AJ20</f>
        <v>22.7457856496682</v>
      </c>
      <c r="AK27" s="32" t="n">
        <f aca="false">AJ27*(1-Assumptions!$E$26)+AK20</f>
        <v>24.4363615079742</v>
      </c>
      <c r="AL27" s="32" t="n">
        <f aca="false">AK27*(1-Assumptions!$E$26)+AL20</f>
        <v>26.0965070008306</v>
      </c>
      <c r="AM27" s="32" t="n">
        <f aca="false">AL27*(1-Assumptions!$E$26)+AM20</f>
        <v>27.7267698748157</v>
      </c>
      <c r="AN27" s="32" t="n">
        <f aca="false">AM27*(1-Assumptions!$E$26)+AN20</f>
        <v>29.327688017069</v>
      </c>
      <c r="AO27" s="32" t="n">
        <f aca="false">AN27*(1-Assumptions!$E$26)+AO20</f>
        <v>30.8997896327618</v>
      </c>
      <c r="AP27" s="32" t="n">
        <f aca="false">AO27*(1-Assumptions!$E$26)+AP20</f>
        <v>32.4435934193721</v>
      </c>
      <c r="AQ27" s="32" t="n">
        <f aca="false">AP27*(1-Assumptions!$E$26)+AQ20</f>
        <v>33.9596087378234</v>
      </c>
      <c r="AR27" s="32" t="n">
        <f aca="false">AQ27*(1-Assumptions!$E$26)+AR20</f>
        <v>35.4483357805425</v>
      </c>
      <c r="AS27" s="32" t="n">
        <f aca="false">AR27*(1-Assumptions!$E$26)+AS20</f>
        <v>36.9102657364928</v>
      </c>
      <c r="AT27" s="32" t="n">
        <f aca="false">AS27*(1-Assumptions!$E$26)+AT20</f>
        <v>38.3458809532359</v>
      </c>
      <c r="AU27" s="32" t="n">
        <f aca="false">AT27*(1-Assumptions!$E$26)+AU20</f>
        <v>39.7556550960777</v>
      </c>
      <c r="AV27" s="32" t="n">
        <f aca="false">AU27*(1-Assumptions!$E$26)+AV20</f>
        <v>41.1400533043483</v>
      </c>
      <c r="AW27" s="32" t="n">
        <f aca="false">AV27*(1-Assumptions!$E$26)+AW20</f>
        <v>42.49953234487</v>
      </c>
      <c r="AX27" s="32" t="n">
        <f aca="false">AW27*(1-Assumptions!$E$26)+AX20</f>
        <v>43.8345407626623</v>
      </c>
      <c r="AY27" s="32" t="n">
        <f aca="false">AX27*(1-Assumptions!$E$26)+AY20</f>
        <v>45.1455190289344</v>
      </c>
      <c r="AZ27" s="32" t="n">
        <f aca="false">AY27*(1-Assumptions!$E$26)+AZ20</f>
        <v>46.4328996864136</v>
      </c>
      <c r="BA27" s="32" t="n">
        <f aca="false">AZ27*(1-Assumptions!$E$26)+BA20</f>
        <v>47.6971074920582</v>
      </c>
      <c r="BB27" s="32" t="n">
        <f aca="false">BA27*(1-Assumptions!$E$26)+BB20</f>
        <v>48.9385595572011</v>
      </c>
      <c r="BC27" s="32" t="n">
        <f aca="false">BB27*(1-Assumptions!$E$26)+BC20</f>
        <v>50.1576654851715</v>
      </c>
      <c r="BD27" s="32" t="n">
        <f aca="false">BC27*(1-Assumptions!$E$26)+BD20</f>
        <v>51.3548275064384</v>
      </c>
      <c r="BE27" s="32" t="n">
        <f aca="false">BD27*(1-Assumptions!$E$26)+BE20</f>
        <v>52.5304406113225</v>
      </c>
      <c r="BF27" s="32" t="n">
        <f aca="false">BE27*(1-Assumptions!$E$26)+BF20</f>
        <v>53.6848926803187</v>
      </c>
      <c r="BG27" s="32" t="n">
        <f aca="false">BF27*(1-Assumptions!$E$26)+BG20</f>
        <v>54.818564612073</v>
      </c>
      <c r="BH27" s="32" t="n">
        <f aca="false">BG27*(1-Assumptions!$E$26)+BH20</f>
        <v>55.9318304490556</v>
      </c>
      <c r="BI27" s="32" t="n">
        <f aca="false">BH27*(1-Assumptions!$E$26)+BI20</f>
        <v>57.0250575009726</v>
      </c>
      <c r="BJ27" s="32" t="n">
        <f aca="false">BI27*(1-Assumptions!$E$26)+BJ20</f>
        <v>58.0986064659551</v>
      </c>
    </row>
    <row r="29" customFormat="false" ht="15" hidden="false" customHeight="false" outlineLevel="0" collapsed="false">
      <c r="A29" s="10" t="s">
        <v>120</v>
      </c>
      <c r="C29" s="33" t="n">
        <f aca="false">SUM(C16:C20)</f>
        <v>4.11046222222222</v>
      </c>
      <c r="D29" s="33" t="n">
        <f aca="false">SUM(D16:D20)</f>
        <v>8.22092444444444</v>
      </c>
      <c r="E29" s="33" t="n">
        <f aca="false">SUM(E16:E20)</f>
        <v>12.3313866666667</v>
      </c>
      <c r="F29" s="33" t="n">
        <f aca="false">SUM(F16:F20)</f>
        <v>16.4418488888889</v>
      </c>
      <c r="G29" s="33" t="n">
        <f aca="false">SUM(G16:G20)</f>
        <v>20.5523111111111</v>
      </c>
      <c r="H29" s="33" t="n">
        <f aca="false">SUM(H16:H20)</f>
        <v>24.6627733333333</v>
      </c>
      <c r="I29" s="33" t="n">
        <f aca="false">SUM(I16:I20)</f>
        <v>30.2799022222222</v>
      </c>
      <c r="J29" s="33" t="n">
        <f aca="false">SUM(J16:J20)</f>
        <v>35.8970311111111</v>
      </c>
      <c r="K29" s="33" t="n">
        <f aca="false">SUM(K16:K20)</f>
        <v>41.51416</v>
      </c>
      <c r="L29" s="33" t="n">
        <f aca="false">SUM(L16:L20)</f>
        <v>43.0208266666667</v>
      </c>
      <c r="M29" s="33" t="n">
        <f aca="false">SUM(M16:M20)</f>
        <v>44.5274933333333</v>
      </c>
      <c r="N29" s="33" t="n">
        <f aca="false">SUM(N16:N20)</f>
        <v>46.03416</v>
      </c>
      <c r="O29" s="33" t="n">
        <f aca="false">SUM(O16:O20)</f>
        <v>47.5408266666667</v>
      </c>
      <c r="P29" s="33" t="n">
        <f aca="false">SUM(P16:P20)</f>
        <v>49.0474933333333</v>
      </c>
      <c r="Q29" s="33" t="n">
        <f aca="false">SUM(Q16:Q20)</f>
        <v>50.55416</v>
      </c>
      <c r="R29" s="33" t="n">
        <f aca="false">SUM(R16:R20)</f>
        <v>50.55416</v>
      </c>
      <c r="S29" s="33" t="n">
        <f aca="false">SUM(S16:S20)</f>
        <v>50.55416</v>
      </c>
      <c r="T29" s="33" t="n">
        <f aca="false">SUM(T16:T20)</f>
        <v>50.55416</v>
      </c>
      <c r="U29" s="33" t="n">
        <f aca="false">SUM(U16:U20)</f>
        <v>51.1346233333333</v>
      </c>
      <c r="V29" s="33" t="n">
        <f aca="false">SUM(V16:V20)</f>
        <v>51.7150866666667</v>
      </c>
      <c r="W29" s="33" t="n">
        <f aca="false">SUM(W16:W20)</f>
        <v>52.29555</v>
      </c>
      <c r="X29" s="33" t="n">
        <f aca="false">SUM(X16:X20)</f>
        <v>52.8760133333333</v>
      </c>
      <c r="Y29" s="33" t="n">
        <f aca="false">SUM(Y16:Y20)</f>
        <v>53.4564766666667</v>
      </c>
      <c r="Z29" s="33" t="n">
        <f aca="false">SUM(Z16:Z20)</f>
        <v>54.03694</v>
      </c>
      <c r="AA29" s="33" t="n">
        <f aca="false">SUM(AA16:AA20)</f>
        <v>54.6174033333333</v>
      </c>
      <c r="AB29" s="33" t="n">
        <f aca="false">SUM(AB16:AB20)</f>
        <v>55.1978666666667</v>
      </c>
      <c r="AC29" s="33" t="n">
        <f aca="false">SUM(AC16:AC20)</f>
        <v>55.77833</v>
      </c>
      <c r="AD29" s="33" t="n">
        <f aca="false">SUM(AD16:AD20)</f>
        <v>55.77833</v>
      </c>
      <c r="AE29" s="33" t="n">
        <f aca="false">SUM(AE16:AE20)</f>
        <v>55.77833</v>
      </c>
      <c r="AF29" s="33" t="n">
        <f aca="false">SUM(AF16:AF20)</f>
        <v>55.77833</v>
      </c>
      <c r="AG29" s="33" t="n">
        <f aca="false">SUM(AG16:AG20)</f>
        <v>55.77833</v>
      </c>
      <c r="AH29" s="33" t="n">
        <f aca="false">SUM(AH16:AH20)</f>
        <v>55.77833</v>
      </c>
      <c r="AI29" s="33" t="n">
        <f aca="false">SUM(AI16:AI20)</f>
        <v>55.77833</v>
      </c>
      <c r="AJ29" s="33" t="n">
        <f aca="false">SUM(AJ16:AJ20)</f>
        <v>55.77833</v>
      </c>
      <c r="AK29" s="33" t="n">
        <f aca="false">SUM(AK16:AK20)</f>
        <v>55.77833</v>
      </c>
      <c r="AL29" s="33" t="n">
        <f aca="false">SUM(AL16:AL20)</f>
        <v>55.77833</v>
      </c>
      <c r="AM29" s="33" t="n">
        <f aca="false">SUM(AM16:AM20)</f>
        <v>55.77833</v>
      </c>
      <c r="AN29" s="33" t="n">
        <f aca="false">SUM(AN16:AN20)</f>
        <v>55.77833</v>
      </c>
      <c r="AO29" s="33" t="n">
        <f aca="false">SUM(AO16:AO20)</f>
        <v>55.77833</v>
      </c>
      <c r="AP29" s="33" t="n">
        <f aca="false">SUM(AP16:AP20)</f>
        <v>55.77833</v>
      </c>
      <c r="AQ29" s="33" t="n">
        <f aca="false">SUM(AQ16:AQ20)</f>
        <v>55.77833</v>
      </c>
      <c r="AR29" s="33" t="n">
        <f aca="false">SUM(AR16:AR20)</f>
        <v>55.77833</v>
      </c>
      <c r="AS29" s="33" t="n">
        <f aca="false">SUM(AS16:AS20)</f>
        <v>55.77833</v>
      </c>
      <c r="AT29" s="33" t="n">
        <f aca="false">SUM(AT16:AT20)</f>
        <v>55.77833</v>
      </c>
      <c r="AU29" s="33" t="n">
        <f aca="false">SUM(AU16:AU20)</f>
        <v>55.77833</v>
      </c>
      <c r="AV29" s="33" t="n">
        <f aca="false">SUM(AV16:AV20)</f>
        <v>55.77833</v>
      </c>
      <c r="AW29" s="33" t="n">
        <f aca="false">SUM(AW16:AW20)</f>
        <v>55.77833</v>
      </c>
      <c r="AX29" s="33" t="n">
        <f aca="false">SUM(AX16:AX20)</f>
        <v>55.77833</v>
      </c>
      <c r="AY29" s="33" t="n">
        <f aca="false">SUM(AY16:AY20)</f>
        <v>55.77833</v>
      </c>
      <c r="AZ29" s="33" t="n">
        <f aca="false">SUM(AZ16:AZ20)</f>
        <v>55.77833</v>
      </c>
      <c r="BA29" s="33" t="n">
        <f aca="false">SUM(BA16:BA20)</f>
        <v>55.77833</v>
      </c>
      <c r="BB29" s="33" t="n">
        <f aca="false">SUM(BB16:BB20)</f>
        <v>55.77833</v>
      </c>
      <c r="BC29" s="33" t="n">
        <f aca="false">SUM(BC16:BC20)</f>
        <v>55.77833</v>
      </c>
      <c r="BD29" s="33" t="n">
        <f aca="false">SUM(BD16:BD20)</f>
        <v>55.77833</v>
      </c>
      <c r="BE29" s="33" t="n">
        <f aca="false">SUM(BE16:BE20)</f>
        <v>55.77833</v>
      </c>
      <c r="BF29" s="33" t="n">
        <f aca="false">SUM(BF16:BF20)</f>
        <v>55.77833</v>
      </c>
      <c r="BG29" s="33" t="n">
        <f aca="false">SUM(BG16:BG20)</f>
        <v>55.77833</v>
      </c>
      <c r="BH29" s="33" t="n">
        <f aca="false">SUM(BH16:BH20)</f>
        <v>55.77833</v>
      </c>
      <c r="BI29" s="33" t="n">
        <f aca="false">SUM(BI16:BI20)</f>
        <v>55.77833</v>
      </c>
      <c r="BJ29" s="33" t="n">
        <f aca="false">SUM(BJ16:BJ20)</f>
        <v>55.77833</v>
      </c>
    </row>
    <row r="30" customFormat="false" ht="15" hidden="false" customHeight="false" outlineLevel="0" collapsed="false">
      <c r="A30" s="5" t="s">
        <v>121</v>
      </c>
      <c r="C30" s="32" t="n">
        <v>0</v>
      </c>
      <c r="D30" s="32" t="n">
        <f aca="false">C31*Assumptions!$E$26</f>
        <v>0.07398832</v>
      </c>
      <c r="E30" s="32" t="n">
        <f aca="false">D31*Assumptions!$E$26</f>
        <v>0.22063317024</v>
      </c>
      <c r="F30" s="32" t="n">
        <f aca="false">E31*Assumptions!$E$26</f>
        <v>0.43862673317568</v>
      </c>
      <c r="G30" s="32" t="n">
        <f aca="false">F31*Assumptions!$E$26</f>
        <v>0.726684731978518</v>
      </c>
      <c r="H30" s="32" t="n">
        <f aca="false">G31*Assumptions!$E$26</f>
        <v>1.0835460068029</v>
      </c>
      <c r="I30" s="32" t="n">
        <f aca="false">H31*Assumptions!$E$26</f>
        <v>1.50797209868045</v>
      </c>
      <c r="J30" s="32" t="n">
        <f aca="false">I31*Assumptions!$E$26</f>
        <v>2.0258668409042</v>
      </c>
      <c r="K30" s="32" t="n">
        <f aca="false">J31*Assumptions!$E$26</f>
        <v>2.63554779776793</v>
      </c>
      <c r="L30" s="32" t="n">
        <f aca="false">K31*Assumptions!$E$26</f>
        <v>3.33536281740811</v>
      </c>
      <c r="M30" s="32" t="n">
        <f aca="false">L31*Assumptions!$E$26</f>
        <v>4.04970116669476</v>
      </c>
      <c r="N30" s="32" t="n">
        <f aca="false">M31*Assumptions!$E$26</f>
        <v>4.77830142569425</v>
      </c>
      <c r="O30" s="32" t="n">
        <f aca="false">N31*Assumptions!$E$26</f>
        <v>5.52090688003176</v>
      </c>
      <c r="P30" s="32" t="n">
        <f aca="false">O31*Assumptions!$E$26</f>
        <v>6.27726543619119</v>
      </c>
      <c r="Q30" s="32" t="n">
        <f aca="false">P31*Assumptions!$E$26</f>
        <v>7.04712953833974</v>
      </c>
      <c r="R30" s="32" t="n">
        <f aca="false">Q31*Assumptions!$E$26</f>
        <v>7.83025608664963</v>
      </c>
      <c r="S30" s="32" t="n">
        <f aca="false">R31*Assumptions!$E$26</f>
        <v>8.59928635708994</v>
      </c>
      <c r="T30" s="32" t="n">
        <f aca="false">S31*Assumptions!$E$26</f>
        <v>9.35447408266232</v>
      </c>
      <c r="U30" s="32" t="n">
        <f aca="false">T31*Assumptions!$E$26</f>
        <v>10.0960684291744</v>
      </c>
      <c r="V30" s="32" t="n">
        <f aca="false">U31*Assumptions!$E$26</f>
        <v>10.8347624174493</v>
      </c>
      <c r="W30" s="32" t="n">
        <f aca="false">V31*Assumptions!$E$26</f>
        <v>11.5706082539352</v>
      </c>
      <c r="X30" s="32" t="n">
        <f aca="false">W31*Assumptions!$E$26</f>
        <v>12.3036572053643</v>
      </c>
      <c r="Y30" s="32" t="n">
        <f aca="false">X31*Assumptions!$E$26</f>
        <v>13.0339596156678</v>
      </c>
      <c r="Z30" s="32" t="n">
        <f aca="false">Y31*Assumptions!$E$26</f>
        <v>13.7615649225858</v>
      </c>
      <c r="AA30" s="32" t="n">
        <f aca="false">Z31*Assumptions!$E$26</f>
        <v>14.4865216739792</v>
      </c>
      <c r="AB30" s="32" t="n">
        <f aca="false">AA31*Assumptions!$E$26</f>
        <v>15.2088775438476</v>
      </c>
      <c r="AC30" s="32" t="n">
        <f aca="false">AB31*Assumptions!$E$26</f>
        <v>15.9286793480583</v>
      </c>
      <c r="AD30" s="32" t="n">
        <f aca="false">AC31*Assumptions!$E$26</f>
        <v>16.6459730597933</v>
      </c>
      <c r="AE30" s="32" t="n">
        <f aca="false">AD31*Assumptions!$E$26</f>
        <v>17.350355484717</v>
      </c>
      <c r="AF30" s="32" t="n">
        <f aca="false">AE31*Assumptions!$E$26</f>
        <v>18.0420590259921</v>
      </c>
      <c r="AG30" s="32" t="n">
        <f aca="false">AF31*Assumptions!$E$26</f>
        <v>18.7213119035242</v>
      </c>
      <c r="AH30" s="32" t="n">
        <f aca="false">AG31*Assumptions!$E$26</f>
        <v>19.3883382292608</v>
      </c>
      <c r="AI30" s="32" t="n">
        <f aca="false">AH31*Assumptions!$E$26</f>
        <v>20.0433580811341</v>
      </c>
      <c r="AJ30" s="32" t="n">
        <f aca="false">AI31*Assumptions!$E$26</f>
        <v>20.6865875756737</v>
      </c>
      <c r="AK30" s="32" t="n">
        <f aca="false">AJ31*Assumptions!$E$26</f>
        <v>21.3182389393116</v>
      </c>
      <c r="AL30" s="32" t="n">
        <f aca="false">AK31*Assumptions!$E$26</f>
        <v>21.938520578404</v>
      </c>
      <c r="AM30" s="32" t="n">
        <f aca="false">AL31*Assumptions!$E$26</f>
        <v>22.5476371479927</v>
      </c>
      <c r="AN30" s="32" t="n">
        <f aca="false">AM31*Assumptions!$E$26</f>
        <v>23.1457896193288</v>
      </c>
      <c r="AO30" s="32" t="n">
        <f aca="false">AN31*Assumptions!$E$26</f>
        <v>23.7331753461809</v>
      </c>
      <c r="AP30" s="32" t="n">
        <f aca="false">AO31*Assumptions!$E$26</f>
        <v>24.3099881299496</v>
      </c>
      <c r="AQ30" s="32" t="n">
        <f aca="false">AP31*Assumptions!$E$26</f>
        <v>24.8764182836105</v>
      </c>
      <c r="AR30" s="32" t="n">
        <f aca="false">AQ31*Assumptions!$E$26</f>
        <v>25.4326526945055</v>
      </c>
      <c r="AS30" s="32" t="n">
        <f aca="false">AR31*Assumptions!$E$26</f>
        <v>25.9788748860044</v>
      </c>
      <c r="AT30" s="32" t="n">
        <f aca="false">AS31*Assumptions!$E$26</f>
        <v>26.5152650780564</v>
      </c>
      <c r="AU30" s="32" t="n">
        <f aca="false">AT31*Assumptions!$E$26</f>
        <v>27.0420002466514</v>
      </c>
      <c r="AV30" s="32" t="n">
        <f aca="false">AU31*Assumptions!$E$26</f>
        <v>27.5592541822116</v>
      </c>
      <c r="AW30" s="32" t="n">
        <f aca="false">AV31*Assumptions!$E$26</f>
        <v>28.0671975469318</v>
      </c>
      <c r="AX30" s="32" t="n">
        <f aca="false">AW31*Assumptions!$E$26</f>
        <v>28.565997931087</v>
      </c>
      <c r="AY30" s="32" t="n">
        <f aca="false">AX31*Assumptions!$E$26</f>
        <v>29.0558199083275</v>
      </c>
      <c r="AZ30" s="32" t="n">
        <f aca="false">AY31*Assumptions!$E$26</f>
        <v>29.5368250899776</v>
      </c>
      <c r="BA30" s="32" t="n">
        <f aca="false">AZ31*Assumptions!$E$26</f>
        <v>30.009172178358</v>
      </c>
      <c r="BB30" s="32" t="n">
        <f aca="false">BA31*Assumptions!$E$26</f>
        <v>30.4730170191475</v>
      </c>
      <c r="BC30" s="32" t="n">
        <f aca="false">BB31*Assumptions!$E$26</f>
        <v>30.9285126528029</v>
      </c>
      <c r="BD30" s="32" t="n">
        <f aca="false">BC31*Assumptions!$E$26</f>
        <v>31.3758093650524</v>
      </c>
      <c r="BE30" s="32" t="n">
        <f aca="false">BD31*Assumptions!$E$26</f>
        <v>31.8150547364815</v>
      </c>
      <c r="BF30" s="32" t="n">
        <f aca="false">BE31*Assumptions!$E$26</f>
        <v>32.2463936912248</v>
      </c>
      <c r="BG30" s="32" t="n">
        <f aca="false">BF31*Assumptions!$E$26</f>
        <v>32.6699685447828</v>
      </c>
      <c r="BH30" s="32" t="n">
        <f aca="false">BG31*Assumptions!$E$26</f>
        <v>33.0859190509767</v>
      </c>
      <c r="BI30" s="32" t="n">
        <f aca="false">BH31*Assumptions!$E$26</f>
        <v>33.4943824480591</v>
      </c>
      <c r="BJ30" s="32" t="n">
        <f aca="false">BI31*Assumptions!$E$26</f>
        <v>33.895493503994</v>
      </c>
    </row>
    <row r="31" customFormat="false" ht="15" hidden="false" customHeight="false" outlineLevel="0" collapsed="false">
      <c r="A31" s="10" t="s">
        <v>122</v>
      </c>
      <c r="C31" s="33" t="n">
        <f aca="false">SUM(C23:C27)</f>
        <v>4.11046222222222</v>
      </c>
      <c r="D31" s="33" t="n">
        <f aca="false">SUM(D23:D27)</f>
        <v>12.2573983466667</v>
      </c>
      <c r="E31" s="33" t="n">
        <f aca="false">SUM(E23:E27)</f>
        <v>24.3681518430933</v>
      </c>
      <c r="F31" s="33" t="n">
        <f aca="false">SUM(F23:F27)</f>
        <v>40.3713739988065</v>
      </c>
      <c r="G31" s="33" t="n">
        <f aca="false">SUM(G23:G27)</f>
        <v>60.1970003779391</v>
      </c>
      <c r="H31" s="33" t="n">
        <f aca="false">SUM(H23:H27)</f>
        <v>83.7762277044696</v>
      </c>
      <c r="I31" s="33" t="n">
        <f aca="false">SUM(I23:I27)</f>
        <v>112.548157828011</v>
      </c>
      <c r="J31" s="33" t="n">
        <f aca="false">SUM(J23:J27)</f>
        <v>146.419322098218</v>
      </c>
      <c r="K31" s="33" t="n">
        <f aca="false">SUM(K23:K27)</f>
        <v>185.29793430045</v>
      </c>
      <c r="L31" s="33" t="n">
        <f aca="false">SUM(L23:L27)</f>
        <v>224.983398149709</v>
      </c>
      <c r="M31" s="33" t="n">
        <f aca="false">SUM(M23:M27)</f>
        <v>265.461190316347</v>
      </c>
      <c r="N31" s="33" t="n">
        <f aca="false">SUM(N23:N27)</f>
        <v>306.717048890653</v>
      </c>
      <c r="O31" s="33" t="n">
        <f aca="false">SUM(O23:O27)</f>
        <v>348.736968677288</v>
      </c>
      <c r="P31" s="33" t="n">
        <f aca="false">SUM(P23:P27)</f>
        <v>391.50719657443</v>
      </c>
      <c r="Q31" s="33" t="n">
        <f aca="false">SUM(Q23:Q27)</f>
        <v>435.014227036091</v>
      </c>
      <c r="R31" s="33" t="n">
        <f aca="false">SUM(R23:R27)</f>
        <v>477.738130949441</v>
      </c>
      <c r="S31" s="33" t="n">
        <f aca="false">SUM(S23:S27)</f>
        <v>519.693004592351</v>
      </c>
      <c r="T31" s="33" t="n">
        <f aca="false">SUM(T23:T27)</f>
        <v>560.892690509689</v>
      </c>
      <c r="U31" s="33" t="n">
        <f aca="false">SUM(U23:U27)</f>
        <v>601.931245413848</v>
      </c>
      <c r="V31" s="33" t="n">
        <f aca="false">SUM(V23:V27)</f>
        <v>642.811569663065</v>
      </c>
      <c r="W31" s="33" t="n">
        <f aca="false">SUM(W23:W27)</f>
        <v>683.53651140913</v>
      </c>
      <c r="X31" s="33" t="n">
        <f aca="false">SUM(X23:X27)</f>
        <v>724.108867537099</v>
      </c>
      <c r="Y31" s="33" t="n">
        <f aca="false">SUM(Y23:Y27)</f>
        <v>764.531384588098</v>
      </c>
      <c r="Z31" s="33" t="n">
        <f aca="false">SUM(Z23:Z27)</f>
        <v>804.806759665512</v>
      </c>
      <c r="AA31" s="33" t="n">
        <f aca="false">SUM(AA23:AA27)</f>
        <v>844.937641324866</v>
      </c>
      <c r="AB31" s="33" t="n">
        <f aca="false">SUM(AB23:AB27)</f>
        <v>884.926630447685</v>
      </c>
      <c r="AC31" s="33" t="n">
        <f aca="false">SUM(AC23:AC27)</f>
        <v>924.776281099627</v>
      </c>
      <c r="AD31" s="33" t="n">
        <f aca="false">SUM(AD23:AD27)</f>
        <v>963.908638039833</v>
      </c>
      <c r="AE31" s="33" t="n">
        <f aca="false">SUM(AE23:AE27)</f>
        <v>1002.33661255512</v>
      </c>
      <c r="AF31" s="33" t="n">
        <f aca="false">SUM(AF23:AF27)</f>
        <v>1040.07288352912</v>
      </c>
      <c r="AG31" s="33" t="n">
        <f aca="false">SUM(AG23:AG27)</f>
        <v>1077.1299016256</v>
      </c>
      <c r="AH31" s="33" t="n">
        <f aca="false">SUM(AH23:AH27)</f>
        <v>1113.51989339634</v>
      </c>
      <c r="AI31" s="33" t="n">
        <f aca="false">SUM(AI23:AI27)</f>
        <v>1149.2548653152</v>
      </c>
      <c r="AJ31" s="33" t="n">
        <f aca="false">SUM(AJ23:AJ27)</f>
        <v>1184.34660773953</v>
      </c>
      <c r="AK31" s="33" t="n">
        <f aca="false">SUM(AK23:AK27)</f>
        <v>1218.80669880022</v>
      </c>
      <c r="AL31" s="33" t="n">
        <f aca="false">SUM(AL23:AL27)</f>
        <v>1252.64650822182</v>
      </c>
      <c r="AM31" s="33" t="n">
        <f aca="false">SUM(AM23:AM27)</f>
        <v>1285.87720107382</v>
      </c>
      <c r="AN31" s="33" t="n">
        <f aca="false">SUM(AN23:AN27)</f>
        <v>1318.50974145449</v>
      </c>
      <c r="AO31" s="33" t="n">
        <f aca="false">SUM(AO23:AO27)</f>
        <v>1350.55489610831</v>
      </c>
      <c r="AP31" s="33" t="n">
        <f aca="false">SUM(AP23:AP27)</f>
        <v>1382.02323797836</v>
      </c>
      <c r="AQ31" s="33" t="n">
        <f aca="false">SUM(AQ23:AQ27)</f>
        <v>1412.92514969475</v>
      </c>
      <c r="AR31" s="33" t="n">
        <f aca="false">SUM(AR23:AR27)</f>
        <v>1443.27082700025</v>
      </c>
      <c r="AS31" s="33" t="n">
        <f aca="false">SUM(AS23:AS27)</f>
        <v>1473.07028211424</v>
      </c>
      <c r="AT31" s="33" t="n">
        <f aca="false">SUM(AT23:AT27)</f>
        <v>1502.33334703619</v>
      </c>
      <c r="AU31" s="33" t="n">
        <f aca="false">SUM(AU23:AU27)</f>
        <v>1531.06967678954</v>
      </c>
      <c r="AV31" s="33" t="n">
        <f aca="false">SUM(AV23:AV27)</f>
        <v>1559.28875260732</v>
      </c>
      <c r="AW31" s="33" t="n">
        <f aca="false">SUM(AW23:AW27)</f>
        <v>1586.99988506039</v>
      </c>
      <c r="AX31" s="33" t="n">
        <f aca="false">SUM(AX23:AX27)</f>
        <v>1614.2122171293</v>
      </c>
      <c r="AY31" s="33" t="n">
        <f aca="false">SUM(AY23:AY27)</f>
        <v>1640.93472722098</v>
      </c>
      <c r="AZ31" s="33" t="n">
        <f aca="false">SUM(AZ23:AZ27)</f>
        <v>1667.176232131</v>
      </c>
      <c r="BA31" s="33" t="n">
        <f aca="false">SUM(BA23:BA27)</f>
        <v>1692.94538995264</v>
      </c>
      <c r="BB31" s="33" t="n">
        <f aca="false">SUM(BB23:BB27)</f>
        <v>1718.25070293349</v>
      </c>
      <c r="BC31" s="33" t="n">
        <f aca="false">SUM(BC23:BC27)</f>
        <v>1743.10052028069</v>
      </c>
      <c r="BD31" s="33" t="n">
        <f aca="false">SUM(BD23:BD27)</f>
        <v>1767.50304091564</v>
      </c>
      <c r="BE31" s="33" t="n">
        <f aca="false">SUM(BE23:BE27)</f>
        <v>1791.46631617916</v>
      </c>
      <c r="BF31" s="33" t="n">
        <f aca="false">SUM(BF23:BF27)</f>
        <v>1814.99825248793</v>
      </c>
      <c r="BG31" s="33" t="n">
        <f aca="false">SUM(BG23:BG27)</f>
        <v>1838.10661394315</v>
      </c>
      <c r="BH31" s="33" t="n">
        <f aca="false">SUM(BH23:BH27)</f>
        <v>1860.79902489217</v>
      </c>
      <c r="BI31" s="33" t="n">
        <f aca="false">SUM(BI23:BI27)</f>
        <v>1883.08297244411</v>
      </c>
      <c r="BJ31" s="33" t="n">
        <f aca="false">SUM(BJ23:BJ27)</f>
        <v>1904.96580894012</v>
      </c>
    </row>
    <row r="33" customFormat="false" ht="15" hidden="false" customHeight="false" outlineLevel="0" collapsed="false">
      <c r="A33" s="10" t="s">
        <v>123</v>
      </c>
      <c r="C33" s="11" t="n">
        <f aca="false">SUMPRODUCT(C23:C27,Assumptions!$I$6:$I$10)*Assumptions!$B$22/Assumptions!$B$21*C6</f>
        <v>210.866712</v>
      </c>
      <c r="D33" s="11" t="n">
        <f aca="false">SUMPRODUCT(D23:D27,Assumptions!$I$6:$I$10)*Assumptions!$B$22/Assumptions!$B$21*D6</f>
        <v>628.804535184</v>
      </c>
      <c r="E33" s="11" t="n">
        <f aca="false">SUMPRODUCT(E23:E27,Assumptions!$I$6:$I$10)*Assumptions!$B$22/Assumptions!$B$21*E6</f>
        <v>1250.08618955069</v>
      </c>
      <c r="F33" s="11" t="n">
        <f aca="false">SUMPRODUCT(F23:F27,Assumptions!$I$6:$I$10)*Assumptions!$B$22/Assumptions!$B$21*F6</f>
        <v>2071.05148613878</v>
      </c>
      <c r="G33" s="11" t="n">
        <f aca="false">SUMPRODUCT(G23:G27,Assumptions!$I$6:$I$10)*Assumptions!$B$22/Assumptions!$B$21*G6</f>
        <v>3088.10611938828</v>
      </c>
      <c r="H33" s="11" t="n">
        <f aca="false">SUMPRODUCT(H23:H27,Assumptions!$I$6:$I$10)*Assumptions!$B$22/Assumptions!$B$21*H6</f>
        <v>4297.72048123929</v>
      </c>
      <c r="I33" s="11" t="n">
        <f aca="false">SUMPRODUCT(I23:I27,Assumptions!$I$6:$I$10)*Assumptions!$B$22/Assumptions!$B$21*I6</f>
        <v>5782.64669657698</v>
      </c>
      <c r="J33" s="11" t="n">
        <f aca="false">SUMPRODUCT(J23:J27,Assumptions!$I$6:$I$10)*Assumptions!$B$22/Assumptions!$B$21*J6</f>
        <v>7537.9291520386</v>
      </c>
      <c r="K33" s="11" t="n">
        <f aca="false">SUMPRODUCT(K23:K27,Assumptions!$I$6:$I$10)*Assumptions!$B$22/Assumptions!$B$21*K6</f>
        <v>9558.7014353019</v>
      </c>
      <c r="L33" s="11" t="n">
        <f aca="false">SUMPRODUCT(L23:L27,Assumptions!$I$6:$I$10)*Assumptions!$B$22/Assumptions!$B$21*L6</f>
        <v>11629.3180174665</v>
      </c>
      <c r="M33" s="11" t="n">
        <f aca="false">SUMPRODUCT(M23:M27,Assumptions!$I$6:$I$10)*Assumptions!$B$22/Assumptions!$B$21*M6</f>
        <v>13748.8817011521</v>
      </c>
      <c r="N33" s="11" t="n">
        <f aca="false">SUMPRODUCT(N23:N27,Assumptions!$I$6:$I$10)*Assumptions!$B$22/Assumptions!$B$21*N6</f>
        <v>15916.5114385313</v>
      </c>
      <c r="O33" s="11" t="n">
        <f aca="false">SUMPRODUCT(O23:O27,Assumptions!$I$6:$I$10)*Assumptions!$B$22/Assumptions!$B$21*O6</f>
        <v>19037.9091426697</v>
      </c>
      <c r="P33" s="11" t="n">
        <f aca="false">SUMPRODUCT(P23:P27,Assumptions!$I$6:$I$10)*Assumptions!$B$22/Assumptions!$B$21*P6</f>
        <v>21412.1500865016</v>
      </c>
      <c r="Q33" s="11" t="n">
        <f aca="false">SUMPRODUCT(Q23:Q27,Assumptions!$I$6:$I$10)*Assumptions!$B$22/Assumptions!$B$21*Q6</f>
        <v>23834.1838033446</v>
      </c>
      <c r="R33" s="11" t="n">
        <f aca="false">SUMPRODUCT(R23:R27,Assumptions!$I$6:$I$10)*Assumptions!$B$22/Assumptions!$B$21*R6</f>
        <v>26212.6209132844</v>
      </c>
      <c r="S33" s="11" t="n">
        <f aca="false">SUMPRODUCT(S23:S27,Assumptions!$I$6:$I$10)*Assumptions!$B$22/Assumptions!$B$21*S6</f>
        <v>28548.2461552453</v>
      </c>
      <c r="T33" s="11" t="n">
        <f aca="false">SUMPRODUCT(T23:T27,Assumptions!$I$6:$I$10)*Assumptions!$B$22/Assumptions!$B$21*T6</f>
        <v>30841.8301428508</v>
      </c>
      <c r="U33" s="11" t="n">
        <f aca="false">SUMPRODUCT(U23:U27,Assumptions!$I$6:$I$10)*Assumptions!$B$22/Assumptions!$B$21*U6</f>
        <v>33137.9029391095</v>
      </c>
      <c r="V33" s="11" t="n">
        <f aca="false">SUMPRODUCT(V23:V27,Assumptions!$I$6:$I$10)*Assumptions!$B$22/Assumptions!$B$21*V6</f>
        <v>35436.4197454656</v>
      </c>
      <c r="W33" s="11" t="n">
        <f aca="false">SUMPRODUCT(W23:W27,Assumptions!$I$6:$I$10)*Assumptions!$B$22/Assumptions!$B$21*W6</f>
        <v>37737.3365697372</v>
      </c>
      <c r="X33" s="11" t="n">
        <f aca="false">SUMPRODUCT(X23:X27,Assumptions!$I$6:$I$10)*Assumptions!$B$22/Assumptions!$B$21*X6</f>
        <v>40040.6102116019</v>
      </c>
      <c r="Y33" s="11" t="n">
        <f aca="false">SUMPRODUCT(Y23:Y27,Assumptions!$I$6:$I$10)*Assumptions!$B$22/Assumptions!$B$21*Y6</f>
        <v>42346.1982483431</v>
      </c>
      <c r="Z33" s="11" t="n">
        <f aca="false">SUMPRODUCT(Z23:Z27,Assumptions!$I$6:$I$10)*Assumptions!$B$22/Assumptions!$B$21*Z6</f>
        <v>44654.0590208529</v>
      </c>
      <c r="AA33" s="11" t="n">
        <f aca="false">SUMPRODUCT(AA23:AA27,Assumptions!$I$6:$I$10)*Assumptions!$B$22/Assumptions!$B$21*AA6</f>
        <v>49312.3592008819</v>
      </c>
      <c r="AB33" s="11" t="n">
        <f aca="false">SUMPRODUCT(AB23:AB27,Assumptions!$I$6:$I$10)*Assumptions!$B$22/Assumptions!$B$21*AB6</f>
        <v>51740.257666198</v>
      </c>
      <c r="AC33" s="11" t="n">
        <f aca="false">SUMPRODUCT(AC23:AC27,Assumptions!$I$6:$I$10)*Assumptions!$B$22/Assumptions!$B$21*AC6</f>
        <v>54170.41594559</v>
      </c>
      <c r="AD33" s="11" t="n">
        <f aca="false">SUMPRODUCT(AD23:AD27,Assumptions!$I$6:$I$10)*Assumptions!$B$22/Assumptions!$B$21*AD6</f>
        <v>56556.8313759529</v>
      </c>
      <c r="AE33" s="11" t="n">
        <f aca="false">SUMPRODUCT(AE23:AE27,Assumptions!$I$6:$I$10)*Assumptions!$B$22/Assumptions!$B$21*AE6</f>
        <v>58900.2913285692</v>
      </c>
      <c r="AF33" s="11" t="n">
        <f aca="false">SUMPRODUCT(AF23:AF27,Assumptions!$I$6:$I$10)*Assumptions!$B$22/Assumptions!$B$21*AF6</f>
        <v>61201.5690020385</v>
      </c>
      <c r="AG33" s="11" t="n">
        <f aca="false">SUMPRODUCT(AG23:AG27,Assumptions!$I$6:$I$10)*Assumptions!$B$22/Assumptions!$B$21*AG6</f>
        <v>63461.4236773853</v>
      </c>
      <c r="AH33" s="11" t="n">
        <f aca="false">SUMPRODUCT(AH23:AH27,Assumptions!$I$6:$I$10)*Assumptions!$B$22/Assumptions!$B$21*AH6</f>
        <v>65680.6009685758</v>
      </c>
      <c r="AI33" s="11" t="n">
        <f aca="false">SUMPRODUCT(AI23:AI27,Assumptions!$I$6:$I$10)*Assumptions!$B$22/Assumptions!$B$21*AI6</f>
        <v>67859.833068525</v>
      </c>
      <c r="AJ33" s="11" t="n">
        <f aca="false">SUMPRODUCT(AJ23:AJ27,Assumptions!$I$6:$I$10)*Assumptions!$B$22/Assumptions!$B$21*AJ6</f>
        <v>69999.838990675</v>
      </c>
      <c r="AK33" s="11" t="n">
        <f aca="false">SUMPRODUCT(AK23:AK27,Assumptions!$I$6:$I$10)*Assumptions!$B$22/Assumptions!$B$21*AK6</f>
        <v>72101.3248062263</v>
      </c>
      <c r="AL33" s="11" t="n">
        <f aca="false">SUMPRODUCT(AL23:AL27,Assumptions!$I$6:$I$10)*Assumptions!$B$22/Assumptions!$B$21*AL6</f>
        <v>74164.9838770978</v>
      </c>
      <c r="AM33" s="11" t="n">
        <f aca="false">SUMPRODUCT(AM23:AM27,Assumptions!$I$6:$I$10)*Assumptions!$B$22/Assumptions!$B$21*AM6</f>
        <v>80001.0719389282</v>
      </c>
      <c r="AN33" s="11" t="n">
        <f aca="false">SUMPRODUCT(AN23:AN27,Assumptions!$I$6:$I$10)*Assumptions!$B$22/Assumptions!$B$21*AN6</f>
        <v>82090.6097072802</v>
      </c>
      <c r="AO33" s="11" t="n">
        <f aca="false">SUMPRODUCT(AO23:AO27,Assumptions!$I$6:$I$10)*Assumptions!$B$22/Assumptions!$B$21*AO6</f>
        <v>84142.5357958018</v>
      </c>
      <c r="AP33" s="11" t="n">
        <f aca="false">SUMPRODUCT(AP23:AP27,Assumptions!$I$6:$I$10)*Assumptions!$B$22/Assumptions!$B$21*AP6</f>
        <v>86157.52721473</v>
      </c>
      <c r="AQ33" s="11" t="n">
        <f aca="false">SUMPRODUCT(AQ23:AQ27,Assumptions!$I$6:$I$10)*Assumptions!$B$22/Assumptions!$B$21*AQ6</f>
        <v>88136.2487881176</v>
      </c>
      <c r="AR33" s="11" t="n">
        <f aca="false">SUMPRODUCT(AR23:AR27,Assumptions!$I$6:$I$10)*Assumptions!$B$22/Assumptions!$B$21*AR6</f>
        <v>90079.3533731841</v>
      </c>
      <c r="AS33" s="11" t="n">
        <f aca="false">SUMPRODUCT(AS23:AS27,Assumptions!$I$6:$I$10)*Assumptions!$B$22/Assumptions!$B$21*AS6</f>
        <v>91987.4820757195</v>
      </c>
      <c r="AT33" s="11" t="n">
        <f aca="false">SUMPRODUCT(AT23:AT27,Assumptions!$I$6:$I$10)*Assumptions!$B$22/Assumptions!$B$21*AT6</f>
        <v>93861.2644616092</v>
      </c>
      <c r="AU33" s="11" t="n">
        <f aca="false">SUMPRODUCT(AU23:AU27,Assumptions!$I$6:$I$10)*Assumptions!$B$22/Assumptions!$B$21*AU6</f>
        <v>95701.3187645529</v>
      </c>
      <c r="AV33" s="11" t="n">
        <f aca="false">SUMPRODUCT(AV23:AV27,Assumptions!$I$6:$I$10)*Assumptions!$B$22/Assumptions!$B$21*AV6</f>
        <v>97508.2520900436</v>
      </c>
      <c r="AW33" s="11" t="n">
        <f aca="false">SUMPRODUCT(AW23:AW27,Assumptions!$I$6:$I$10)*Assumptions!$B$22/Assumptions!$B$21*AW6</f>
        <v>99282.6606156755</v>
      </c>
      <c r="AX33" s="11" t="n">
        <f aca="false">SUMPRODUCT(AX23:AX27,Assumptions!$I$6:$I$10)*Assumptions!$B$22/Assumptions!$B$21*AX6</f>
        <v>101025.129787846</v>
      </c>
      <c r="AY33" s="11" t="n">
        <f aca="false">SUMPRODUCT(AY23:AY27,Assumptions!$I$6:$I$10)*Assumptions!$B$22/Assumptions!$B$21*AY6</f>
        <v>107873.046240663</v>
      </c>
      <c r="AZ33" s="11" t="n">
        <f aca="false">SUMPRODUCT(AZ23:AZ27,Assumptions!$I$6:$I$10)*Assumptions!$B$22/Assumptions!$B$21*AZ6</f>
        <v>109637.366324747</v>
      </c>
      <c r="BA33" s="11" t="n">
        <f aca="false">SUMPRODUCT(BA23:BA27,Assumptions!$I$6:$I$10)*Assumptions!$B$22/Assumptions!$B$21*BA6</f>
        <v>111369.928647317</v>
      </c>
      <c r="BB33" s="11" t="n">
        <f aca="false">SUMPRODUCT(BB23:BB27,Assumptions!$I$6:$I$10)*Assumptions!$B$22/Assumptions!$B$21*BB6</f>
        <v>113071.30484808</v>
      </c>
      <c r="BC33" s="11" t="n">
        <f aca="false">SUMPRODUCT(BC23:BC27,Assumptions!$I$6:$I$10)*Assumptions!$B$22/Assumptions!$B$21*BC6</f>
        <v>114742.05627723</v>
      </c>
      <c r="BD33" s="11" t="n">
        <f aca="false">SUMPRODUCT(BD23:BD27,Assumptions!$I$6:$I$10)*Assumptions!$B$22/Assumptions!$B$21*BD6</f>
        <v>116382.734180655</v>
      </c>
      <c r="BE33" s="11" t="n">
        <f aca="false">SUMPRODUCT(BE23:BE27,Assumptions!$I$6:$I$10)*Assumptions!$B$22/Assumptions!$B$21*BE6</f>
        <v>117993.879881819</v>
      </c>
      <c r="BF33" s="11" t="n">
        <f aca="false">SUMPRODUCT(BF23:BF27,Assumptions!$I$6:$I$10)*Assumptions!$B$22/Assumptions!$B$21*BF6</f>
        <v>119576.024960361</v>
      </c>
      <c r="BG33" s="11" t="n">
        <f aca="false">SUMPRODUCT(BG23:BG27,Assumptions!$I$6:$I$10)*Assumptions!$B$22/Assumptions!$B$21*BG6</f>
        <v>121129.69142749</v>
      </c>
      <c r="BH33" s="11" t="n">
        <f aca="false">SUMPRODUCT(BH23:BH27,Assumptions!$I$6:$I$10)*Assumptions!$B$22/Assumptions!$B$21*BH6</f>
        <v>122655.391898211</v>
      </c>
      <c r="BI33" s="11" t="n">
        <f aca="false">SUMPRODUCT(BI23:BI27,Assumptions!$I$6:$I$10)*Assumptions!$B$22/Assumptions!$B$21*BI6</f>
        <v>124153.629760458</v>
      </c>
      <c r="BJ33" s="11" t="n">
        <f aca="false">SUMPRODUCT(BJ23:BJ27,Assumptions!$I$6:$I$10)*Assumptions!$B$22/Assumptions!$B$21*BJ6</f>
        <v>125624.899341185</v>
      </c>
    </row>
    <row r="34" customFormat="false" ht="15" hidden="false" customHeight="false" outlineLevel="0" collapsed="false">
      <c r="A34" s="10" t="s">
        <v>124</v>
      </c>
      <c r="C34" s="11" t="n">
        <f aca="false">C33*12</f>
        <v>2530.400544</v>
      </c>
      <c r="D34" s="11" t="n">
        <f aca="false">D33*12</f>
        <v>7545.654422208</v>
      </c>
      <c r="E34" s="11" t="n">
        <f aca="false">E33*12</f>
        <v>15001.0342746083</v>
      </c>
      <c r="F34" s="11" t="n">
        <f aca="false">F33*12</f>
        <v>24852.6178336653</v>
      </c>
      <c r="G34" s="11" t="n">
        <f aca="false">G33*12</f>
        <v>37057.2734326593</v>
      </c>
      <c r="H34" s="11" t="n">
        <f aca="false">H33*12</f>
        <v>51572.6457748715</v>
      </c>
      <c r="I34" s="11" t="n">
        <f aca="false">I33*12</f>
        <v>69391.7603589238</v>
      </c>
      <c r="J34" s="11" t="n">
        <f aca="false">J33*12</f>
        <v>90455.1498244632</v>
      </c>
      <c r="K34" s="11" t="n">
        <f aca="false">K33*12</f>
        <v>114704.417223623</v>
      </c>
      <c r="L34" s="11" t="n">
        <f aca="false">L33*12</f>
        <v>139551.816209598</v>
      </c>
      <c r="M34" s="11" t="n">
        <f aca="false">M33*12</f>
        <v>164986.580413825</v>
      </c>
      <c r="N34" s="11" t="n">
        <f aca="false">N33*12</f>
        <v>190998.137262376</v>
      </c>
      <c r="O34" s="11" t="n">
        <f aca="false">O33*12</f>
        <v>228454.909712036</v>
      </c>
      <c r="P34" s="11" t="n">
        <f aca="false">P33*12</f>
        <v>256945.801038019</v>
      </c>
      <c r="Q34" s="11" t="n">
        <f aca="false">Q33*12</f>
        <v>286010.205640135</v>
      </c>
      <c r="R34" s="11" t="n">
        <f aca="false">R33*12</f>
        <v>314551.450959412</v>
      </c>
      <c r="S34" s="11" t="n">
        <f aca="false">S33*12</f>
        <v>342578.953862943</v>
      </c>
      <c r="T34" s="11" t="n">
        <f aca="false">T33*12</f>
        <v>370101.96171421</v>
      </c>
      <c r="U34" s="11" t="n">
        <f aca="false">U33*12</f>
        <v>397654.835269314</v>
      </c>
      <c r="V34" s="11" t="n">
        <f aca="false">V33*12</f>
        <v>425237.036945587</v>
      </c>
      <c r="W34" s="11" t="n">
        <f aca="false">W33*12</f>
        <v>452848.038836846</v>
      </c>
      <c r="X34" s="11" t="n">
        <f aca="false">X33*12</f>
        <v>480487.322539223</v>
      </c>
      <c r="Y34" s="11" t="n">
        <f aca="false">Y33*12</f>
        <v>508154.378980117</v>
      </c>
      <c r="Z34" s="11" t="n">
        <f aca="false">Z33*12</f>
        <v>535848.708250235</v>
      </c>
      <c r="AA34" s="11" t="n">
        <f aca="false">AA33*12</f>
        <v>591748.310410583</v>
      </c>
      <c r="AB34" s="11" t="n">
        <f aca="false">AB33*12</f>
        <v>620883.091994376</v>
      </c>
      <c r="AC34" s="11" t="n">
        <f aca="false">AC33*12</f>
        <v>650044.99134708</v>
      </c>
      <c r="AD34" s="11" t="n">
        <f aca="false">AD33*12</f>
        <v>678681.976511434</v>
      </c>
      <c r="AE34" s="11" t="n">
        <f aca="false">AE33*12</f>
        <v>706803.49594283</v>
      </c>
      <c r="AF34" s="11" t="n">
        <f aca="false">AF33*12</f>
        <v>734418.828024461</v>
      </c>
      <c r="AG34" s="11" t="n">
        <f aca="false">AG33*12</f>
        <v>761537.084128623</v>
      </c>
      <c r="AH34" s="11" t="n">
        <f aca="false">AH33*12</f>
        <v>788167.21162291</v>
      </c>
      <c r="AI34" s="11" t="n">
        <f aca="false">AI33*12</f>
        <v>814317.996822299</v>
      </c>
      <c r="AJ34" s="11" t="n">
        <f aca="false">AJ33*12</f>
        <v>839998.0678881</v>
      </c>
      <c r="AK34" s="11" t="n">
        <f aca="false">AK33*12</f>
        <v>865215.897674716</v>
      </c>
      <c r="AL34" s="11" t="n">
        <f aca="false">AL33*12</f>
        <v>889979.806525173</v>
      </c>
      <c r="AM34" s="11" t="n">
        <f aca="false">AM33*12</f>
        <v>960012.863267138</v>
      </c>
      <c r="AN34" s="11" t="n">
        <f aca="false">AN33*12</f>
        <v>985087.316487362</v>
      </c>
      <c r="AO34" s="11" t="n">
        <f aca="false">AO33*12</f>
        <v>1009710.42954962</v>
      </c>
      <c r="AP34" s="11" t="n">
        <f aca="false">AP33*12</f>
        <v>1033890.32657676</v>
      </c>
      <c r="AQ34" s="11" t="n">
        <f aca="false">AQ33*12</f>
        <v>1057634.98545741</v>
      </c>
      <c r="AR34" s="11" t="n">
        <f aca="false">AR33*12</f>
        <v>1080952.24047821</v>
      </c>
      <c r="AS34" s="11" t="n">
        <f aca="false">AS33*12</f>
        <v>1103849.78490863</v>
      </c>
      <c r="AT34" s="11" t="n">
        <f aca="false">AT33*12</f>
        <v>1126335.17353931</v>
      </c>
      <c r="AU34" s="11" t="n">
        <f aca="false">AU33*12</f>
        <v>1148415.82517463</v>
      </c>
      <c r="AV34" s="11" t="n">
        <f aca="false">AV33*12</f>
        <v>1170099.02508052</v>
      </c>
      <c r="AW34" s="11" t="n">
        <f aca="false">AW33*12</f>
        <v>1191391.92738811</v>
      </c>
      <c r="AX34" s="11" t="n">
        <f aca="false">AX33*12</f>
        <v>1212301.55745415</v>
      </c>
      <c r="AY34" s="11" t="n">
        <f aca="false">AY33*12</f>
        <v>1294476.55488796</v>
      </c>
      <c r="AZ34" s="11" t="n">
        <f aca="false">AZ33*12</f>
        <v>1315648.39589696</v>
      </c>
      <c r="BA34" s="11" t="n">
        <f aca="false">BA33*12</f>
        <v>1336439.1437678</v>
      </c>
      <c r="BB34" s="11" t="n">
        <f aca="false">BB33*12</f>
        <v>1356855.65817696</v>
      </c>
      <c r="BC34" s="11" t="n">
        <f aca="false">BC33*12</f>
        <v>1376904.67532676</v>
      </c>
      <c r="BD34" s="11" t="n">
        <f aca="false">BD33*12</f>
        <v>1396592.81016786</v>
      </c>
      <c r="BE34" s="11" t="n">
        <f aca="false">BE33*12</f>
        <v>1415926.55858182</v>
      </c>
      <c r="BF34" s="11" t="n">
        <f aca="false">BF33*12</f>
        <v>1434912.29952434</v>
      </c>
      <c r="BG34" s="11" t="n">
        <f aca="false">BG33*12</f>
        <v>1453556.29712988</v>
      </c>
      <c r="BH34" s="11" t="n">
        <f aca="false">BH33*12</f>
        <v>1471864.70277853</v>
      </c>
      <c r="BI34" s="11" t="n">
        <f aca="false">BI33*12</f>
        <v>1489843.5571255</v>
      </c>
      <c r="BJ34" s="11" t="n">
        <f aca="false">BJ33*12</f>
        <v>1507498.79209422</v>
      </c>
    </row>
    <row r="35" customFormat="false" ht="15" hidden="false" customHeight="false" outlineLevel="0" collapsed="false">
      <c r="A35" s="10" t="s">
        <v>11</v>
      </c>
      <c r="C35" s="11" t="n">
        <f aca="false">C33</f>
        <v>210.866712</v>
      </c>
      <c r="D35" s="11" t="n">
        <f aca="false">D33</f>
        <v>628.804535184</v>
      </c>
      <c r="E35" s="11" t="n">
        <f aca="false">E33</f>
        <v>1250.08618955069</v>
      </c>
      <c r="F35" s="11" t="n">
        <f aca="false">F33</f>
        <v>2071.05148613878</v>
      </c>
      <c r="G35" s="11" t="n">
        <f aca="false">G33</f>
        <v>3088.10611938828</v>
      </c>
      <c r="H35" s="11" t="n">
        <f aca="false">H33</f>
        <v>4297.72048123929</v>
      </c>
      <c r="I35" s="11" t="n">
        <f aca="false">I33</f>
        <v>5782.64669657698</v>
      </c>
      <c r="J35" s="11" t="n">
        <f aca="false">J33</f>
        <v>7537.9291520386</v>
      </c>
      <c r="K35" s="11" t="n">
        <f aca="false">K33</f>
        <v>9558.7014353019</v>
      </c>
      <c r="L35" s="11" t="n">
        <f aca="false">L33</f>
        <v>11629.3180174665</v>
      </c>
      <c r="M35" s="11" t="n">
        <f aca="false">M33</f>
        <v>13748.8817011521</v>
      </c>
      <c r="N35" s="11" t="n">
        <f aca="false">N33</f>
        <v>15916.5114385313</v>
      </c>
      <c r="O35" s="11" t="n">
        <f aca="false">O33</f>
        <v>19037.9091426697</v>
      </c>
      <c r="P35" s="11" t="n">
        <f aca="false">P33</f>
        <v>21412.1500865016</v>
      </c>
      <c r="Q35" s="11" t="n">
        <f aca="false">Q33</f>
        <v>23834.1838033446</v>
      </c>
      <c r="R35" s="11" t="n">
        <f aca="false">R33</f>
        <v>26212.6209132844</v>
      </c>
      <c r="S35" s="11" t="n">
        <f aca="false">S33</f>
        <v>28548.2461552453</v>
      </c>
      <c r="T35" s="11" t="n">
        <f aca="false">T33</f>
        <v>30841.8301428508</v>
      </c>
      <c r="U35" s="11" t="n">
        <f aca="false">U33</f>
        <v>33137.9029391095</v>
      </c>
      <c r="V35" s="11" t="n">
        <f aca="false">V33</f>
        <v>35436.4197454656</v>
      </c>
      <c r="W35" s="11" t="n">
        <f aca="false">W33</f>
        <v>37737.3365697372</v>
      </c>
      <c r="X35" s="11" t="n">
        <f aca="false">X33</f>
        <v>40040.6102116019</v>
      </c>
      <c r="Y35" s="11" t="n">
        <f aca="false">Y33</f>
        <v>42346.1982483431</v>
      </c>
      <c r="Z35" s="11" t="n">
        <f aca="false">Z33</f>
        <v>44654.0590208529</v>
      </c>
      <c r="AA35" s="11" t="n">
        <f aca="false">AA33</f>
        <v>49312.3592008819</v>
      </c>
      <c r="AB35" s="11" t="n">
        <f aca="false">AB33</f>
        <v>51740.257666198</v>
      </c>
      <c r="AC35" s="11" t="n">
        <f aca="false">AC33</f>
        <v>54170.41594559</v>
      </c>
      <c r="AD35" s="11" t="n">
        <f aca="false">AD33</f>
        <v>56556.8313759529</v>
      </c>
      <c r="AE35" s="11" t="n">
        <f aca="false">AE33</f>
        <v>58900.2913285692</v>
      </c>
      <c r="AF35" s="11" t="n">
        <f aca="false">AF33</f>
        <v>61201.5690020385</v>
      </c>
      <c r="AG35" s="11" t="n">
        <f aca="false">AG33</f>
        <v>63461.4236773853</v>
      </c>
      <c r="AH35" s="11" t="n">
        <f aca="false">AH33</f>
        <v>65680.6009685758</v>
      </c>
      <c r="AI35" s="11" t="n">
        <f aca="false">AI33</f>
        <v>67859.833068525</v>
      </c>
      <c r="AJ35" s="11" t="n">
        <f aca="false">AJ33</f>
        <v>69999.838990675</v>
      </c>
      <c r="AK35" s="11" t="n">
        <f aca="false">AK33</f>
        <v>72101.3248062263</v>
      </c>
      <c r="AL35" s="11" t="n">
        <f aca="false">AL33</f>
        <v>74164.9838770978</v>
      </c>
      <c r="AM35" s="11" t="n">
        <f aca="false">AM33</f>
        <v>80001.0719389282</v>
      </c>
      <c r="AN35" s="11" t="n">
        <f aca="false">AN33</f>
        <v>82090.6097072802</v>
      </c>
      <c r="AO35" s="11" t="n">
        <f aca="false">AO33</f>
        <v>84142.5357958018</v>
      </c>
      <c r="AP35" s="11" t="n">
        <f aca="false">AP33</f>
        <v>86157.52721473</v>
      </c>
      <c r="AQ35" s="11" t="n">
        <f aca="false">AQ33</f>
        <v>88136.2487881176</v>
      </c>
      <c r="AR35" s="11" t="n">
        <f aca="false">AR33</f>
        <v>90079.3533731841</v>
      </c>
      <c r="AS35" s="11" t="n">
        <f aca="false">AS33</f>
        <v>91987.4820757195</v>
      </c>
      <c r="AT35" s="11" t="n">
        <f aca="false">AT33</f>
        <v>93861.2644616092</v>
      </c>
      <c r="AU35" s="11" t="n">
        <f aca="false">AU33</f>
        <v>95701.3187645529</v>
      </c>
      <c r="AV35" s="11" t="n">
        <f aca="false">AV33</f>
        <v>97508.2520900436</v>
      </c>
      <c r="AW35" s="11" t="n">
        <f aca="false">AW33</f>
        <v>99282.6606156755</v>
      </c>
      <c r="AX35" s="11" t="n">
        <f aca="false">AX33</f>
        <v>101025.129787846</v>
      </c>
      <c r="AY35" s="11" t="n">
        <f aca="false">AY33</f>
        <v>107873.046240663</v>
      </c>
      <c r="AZ35" s="11" t="n">
        <f aca="false">AZ33</f>
        <v>109637.366324747</v>
      </c>
      <c r="BA35" s="11" t="n">
        <f aca="false">BA33</f>
        <v>111369.928647317</v>
      </c>
      <c r="BB35" s="11" t="n">
        <f aca="false">BB33</f>
        <v>113071.30484808</v>
      </c>
      <c r="BC35" s="11" t="n">
        <f aca="false">BC33</f>
        <v>114742.05627723</v>
      </c>
      <c r="BD35" s="11" t="n">
        <f aca="false">BD33</f>
        <v>116382.734180655</v>
      </c>
      <c r="BE35" s="11" t="n">
        <f aca="false">BE33</f>
        <v>117993.879881819</v>
      </c>
      <c r="BF35" s="11" t="n">
        <f aca="false">BF33</f>
        <v>119576.024960361</v>
      </c>
      <c r="BG35" s="11" t="n">
        <f aca="false">BG33</f>
        <v>121129.69142749</v>
      </c>
      <c r="BH35" s="11" t="n">
        <f aca="false">BH33</f>
        <v>122655.391898211</v>
      </c>
      <c r="BI35" s="11" t="n">
        <f aca="false">BI33</f>
        <v>124153.629760458</v>
      </c>
      <c r="BJ35" s="11" t="n">
        <f aca="false">BJ33</f>
        <v>125624.899341185</v>
      </c>
    </row>
    <row r="37" customFormat="false" ht="15" hidden="false" customHeight="false" outlineLevel="0" collapsed="false">
      <c r="A37" s="10" t="s">
        <v>125</v>
      </c>
    </row>
    <row r="38" customFormat="false" ht="15" hidden="false" customHeight="false" outlineLevel="0" collapsed="false">
      <c r="A38" s="5" t="s">
        <v>126</v>
      </c>
      <c r="C38" s="8" t="n">
        <f aca="false">C35*Assumptions!$B$33+C31*((1-Assumptions!$B$19)+Assumptions!$B$19/12)*Assumptions!$B$34</f>
        <v>7.00916018133333</v>
      </c>
      <c r="D38" s="8" t="n">
        <f aca="false">D35*Assumptions!$B$33+D31*((1-Assumptions!$B$19)+Assumptions!$B$19/12)*Assumptions!$B$34</f>
        <v>20.901315660736</v>
      </c>
      <c r="E38" s="8" t="n">
        <f aca="false">E35*Assumptions!$B$33+E31*((1-Assumptions!$B$19)+Assumptions!$B$19/12)*Assumptions!$B$34</f>
        <v>41.5525725228428</v>
      </c>
      <c r="F38" s="8" t="n">
        <f aca="false">F35*Assumptions!$B$33+F31*((1-Assumptions!$B$19)+Assumptions!$B$19/12)*Assumptions!$B$34</f>
        <v>68.8412669427649</v>
      </c>
      <c r="G38" s="8" t="n">
        <f aca="false">G35*Assumptions!$B$33+G31*((1-Assumptions!$B$19)+Assumptions!$B$19/12)*Assumptions!$B$34</f>
        <v>102.647925044462</v>
      </c>
      <c r="H38" s="8" t="n">
        <f aca="false">H35*Assumptions!$B$33+H31*((1-Assumptions!$B$19)+Assumptions!$B$19/12)*Assumptions!$B$34</f>
        <v>142.855223481661</v>
      </c>
      <c r="I38" s="8" t="n">
        <f aca="false">I35*Assumptions!$B$33+I31*((1-Assumptions!$B$19)+Assumptions!$B$19/12)*Assumptions!$B$34</f>
        <v>192.175978528325</v>
      </c>
      <c r="J38" s="8" t="n">
        <f aca="false">J35*Assumptions!$B$33+J31*((1-Assumptions!$B$19)+Assumptions!$B$19/12)*Assumptions!$B$34</f>
        <v>250.446147965482</v>
      </c>
      <c r="K38" s="8" t="n">
        <f aca="false">K35*Assumptions!$B$33+K31*((1-Assumptions!$B$19)+Assumptions!$B$19/12)*Assumptions!$B$34</f>
        <v>317.504642334103</v>
      </c>
      <c r="L38" s="8" t="n">
        <f aca="false">L35*Assumptions!$B$33+L31*((1-Assumptions!$B$19)+Assumptions!$B$19/12)*Assumptions!$B$34</f>
        <v>386.184111604089</v>
      </c>
      <c r="M38" s="8" t="n">
        <f aca="false">M35*Assumptions!$B$33+M31*((1-Assumptions!$B$19)+Assumptions!$B$19/12)*Assumptions!$B$34</f>
        <v>456.455378227216</v>
      </c>
      <c r="N38" s="8" t="n">
        <f aca="false">N35*Assumptions!$B$33+N31*((1-Assumptions!$B$19)+Assumptions!$B$19/12)*Assumptions!$B$34</f>
        <v>528.289789851126</v>
      </c>
      <c r="O38" s="8" t="n">
        <f aca="false">O35*Assumptions!$B$33+O31*((1-Assumptions!$B$19)+Assumptions!$B$19/12)*Assumptions!$B$34</f>
        <v>627.94965582473</v>
      </c>
      <c r="P38" s="8" t="n">
        <f aca="false">P35*Assumptions!$B$33+P31*((1-Assumptions!$B$19)+Assumptions!$B$19/12)*Assumptions!$B$34</f>
        <v>706.105167763485</v>
      </c>
      <c r="Q38" s="8" t="n">
        <f aca="false">Q35*Assumptions!$B$33+Q31*((1-Assumptions!$B$19)+Assumptions!$B$19/12)*Assumptions!$B$34</f>
        <v>785.806924677342</v>
      </c>
      <c r="R38" s="8" t="n">
        <f aca="false">R35*Assumptions!$B$33+R31*((1-Assumptions!$B$19)+Assumptions!$B$19/12)*Assumptions!$B$34</f>
        <v>864.07404996675</v>
      </c>
      <c r="S38" s="8" t="n">
        <f aca="false">S35*Assumptions!$B$33+S31*((1-Assumptions!$B$19)+Assumptions!$B$19/12)*Assumptions!$B$34</f>
        <v>940.932367000949</v>
      </c>
      <c r="T38" s="8" t="n">
        <f aca="false">T35*Assumptions!$B$33+T31*((1-Assumptions!$B$19)+Assumptions!$B$19/12)*Assumptions!$B$34</f>
        <v>1016.40723432853</v>
      </c>
      <c r="U38" s="8" t="n">
        <f aca="false">U35*Assumptions!$B$33+U31*((1-Assumptions!$B$19)+Assumptions!$B$19/12)*Assumptions!$B$34</f>
        <v>1091.91923111169</v>
      </c>
      <c r="V38" s="8" t="n">
        <f aca="false">V35*Assumptions!$B$33+V31*((1-Assumptions!$B$19)+Assumptions!$B$19/12)*Assumptions!$B$34</f>
        <v>1167.46768902022</v>
      </c>
      <c r="W38" s="8" t="n">
        <f aca="false">W35*Assumptions!$B$33+W31*((1-Assumptions!$B$19)+Assumptions!$B$19/12)*Assumptions!$B$34</f>
        <v>1243.05195175386</v>
      </c>
      <c r="X38" s="8" t="n">
        <f aca="false">X35*Assumptions!$B$33+X31*((1-Assumptions!$B$19)+Assumptions!$B$19/12)*Assumptions!$B$34</f>
        <v>1318.67137482577</v>
      </c>
      <c r="Y38" s="8" t="n">
        <f aca="false">Y35*Assumptions!$B$33+Y31*((1-Assumptions!$B$19)+Assumptions!$B$19/12)*Assumptions!$B$34</f>
        <v>1394.32532534986</v>
      </c>
      <c r="Z38" s="8" t="n">
        <f aca="false">Z35*Assumptions!$B$33+Z31*((1-Assumptions!$B$19)+Assumptions!$B$19/12)*Assumptions!$B$34</f>
        <v>1470.01318183198</v>
      </c>
      <c r="AA38" s="8" t="n">
        <f aca="false">AA35*Assumptions!$B$33+AA31*((1-Assumptions!$B$19)+Assumptions!$B$19/12)*Assumptions!$B$34</f>
        <v>1613.83235381373</v>
      </c>
      <c r="AB38" s="8" t="n">
        <f aca="false">AB35*Assumptions!$B$33+AB31*((1-Assumptions!$B$19)+Assumptions!$B$19/12)*Assumptions!$B$34</f>
        <v>1692.93901444211</v>
      </c>
      <c r="AC38" s="8" t="n">
        <f aca="false">AC35*Assumptions!$B$33+AC31*((1-Assumptions!$B$19)+Assumptions!$B$19/12)*Assumptions!$B$34</f>
        <v>1772.08090356128</v>
      </c>
      <c r="AD38" s="8" t="n">
        <f aca="false">AD35*Assumptions!$B$33+AD31*((1-Assumptions!$B$19)+Assumptions!$B$19/12)*Assumptions!$B$34</f>
        <v>1849.7982386763</v>
      </c>
      <c r="AE38" s="8" t="n">
        <f aca="false">AE35*Assumptions!$B$33+AE31*((1-Assumptions!$B$19)+Assumptions!$B$19/12)*Assumptions!$B$34</f>
        <v>1926.11666175924</v>
      </c>
      <c r="AF38" s="8" t="n">
        <f aca="false">AF35*Assumptions!$B$33+AF31*((1-Assumptions!$B$19)+Assumptions!$B$19/12)*Assumptions!$B$34</f>
        <v>2001.0613532267</v>
      </c>
      <c r="AG38" s="8" t="n">
        <f aca="false">AG35*Assumptions!$B$33+AG31*((1-Assumptions!$B$19)+Assumptions!$B$19/12)*Assumptions!$B$34</f>
        <v>2074.65704024774</v>
      </c>
      <c r="AH38" s="8" t="n">
        <f aca="false">AH35*Assumptions!$B$33+AH31*((1-Assumptions!$B$19)+Assumptions!$B$19/12)*Assumptions!$B$34</f>
        <v>2146.9280049024</v>
      </c>
      <c r="AI38" s="8" t="n">
        <f aca="false">AI35*Assumptions!$B$33+AI31*((1-Assumptions!$B$19)+Assumptions!$B$19/12)*Assumptions!$B$34</f>
        <v>2217.89809219328</v>
      </c>
      <c r="AJ38" s="8" t="n">
        <f aca="false">AJ35*Assumptions!$B$33+AJ31*((1-Assumptions!$B$19)+Assumptions!$B$19/12)*Assumptions!$B$34</f>
        <v>2287.59071791292</v>
      </c>
      <c r="AK38" s="8" t="n">
        <f aca="false">AK35*Assumptions!$B$33+AK31*((1-Assumptions!$B$19)+Assumptions!$B$19/12)*Assumptions!$B$34</f>
        <v>2356.02887636961</v>
      </c>
      <c r="AL38" s="8" t="n">
        <f aca="false">AL35*Assumptions!$B$33+AL31*((1-Assumptions!$B$19)+Assumptions!$B$19/12)*Assumptions!$B$34</f>
        <v>2423.23514797408</v>
      </c>
      <c r="AM38" s="8" t="n">
        <f aca="false">AM35*Assumptions!$B$33+AM31*((1-Assumptions!$B$19)+Assumptions!$B$19/12)*Assumptions!$B$34</f>
        <v>2599.70937746247</v>
      </c>
      <c r="AN38" s="8" t="n">
        <f aca="false">AN35*Assumptions!$B$33+AN31*((1-Assumptions!$B$19)+Assumptions!$B$19/12)*Assumptions!$B$34</f>
        <v>2667.40355027748</v>
      </c>
      <c r="AO38" s="8" t="n">
        <f aca="false">AO35*Assumptions!$B$33+AO31*((1-Assumptions!$B$19)+Assumptions!$B$19/12)*Assumptions!$B$34</f>
        <v>2733.87922798181</v>
      </c>
      <c r="AP38" s="8" t="n">
        <f aca="false">AP35*Assumptions!$B$33+AP31*((1-Assumptions!$B$19)+Assumptions!$B$19/12)*Assumptions!$B$34</f>
        <v>2799.15834348746</v>
      </c>
      <c r="AQ38" s="8" t="n">
        <f aca="false">AQ35*Assumptions!$B$33+AQ31*((1-Assumptions!$B$19)+Assumptions!$B$19/12)*Assumptions!$B$34</f>
        <v>2863.26243491402</v>
      </c>
      <c r="AR38" s="8" t="n">
        <f aca="false">AR35*Assumptions!$B$33+AR31*((1-Assumptions!$B$19)+Assumptions!$B$19/12)*Assumptions!$B$34</f>
        <v>2926.21265269489</v>
      </c>
      <c r="AS38" s="8" t="n">
        <f aca="false">AS35*Assumptions!$B$33+AS31*((1-Assumptions!$B$19)+Assumptions!$B$19/12)*Assumptions!$B$34</f>
        <v>2988.02976655571</v>
      </c>
      <c r="AT38" s="8" t="n">
        <f aca="false">AT35*Assumptions!$B$33+AT31*((1-Assumptions!$B$19)+Assumptions!$B$19/12)*Assumptions!$B$34</f>
        <v>3048.73417236704</v>
      </c>
      <c r="AU38" s="8" t="n">
        <f aca="false">AU35*Assumptions!$B$33+AU31*((1-Assumptions!$B$19)+Assumptions!$B$19/12)*Assumptions!$B$34</f>
        <v>3108.34589887376</v>
      </c>
      <c r="AV38" s="8" t="n">
        <f aca="false">AV35*Assumptions!$B$33+AV31*((1-Assumptions!$B$19)+Assumptions!$B$19/12)*Assumptions!$B$34</f>
        <v>3166.88461430336</v>
      </c>
      <c r="AW38" s="8" t="n">
        <f aca="false">AW35*Assumptions!$B$33+AW31*((1-Assumptions!$B$19)+Assumptions!$B$19/12)*Assumptions!$B$34</f>
        <v>3224.36963285522</v>
      </c>
      <c r="AX38" s="8" t="n">
        <f aca="false">AX35*Assumptions!$B$33+AX31*((1-Assumptions!$B$19)+Assumptions!$B$19/12)*Assumptions!$B$34</f>
        <v>3280.81992107316</v>
      </c>
      <c r="AY38" s="8" t="n">
        <f aca="false">AY35*Assumptions!$B$33+AY31*((1-Assumptions!$B$19)+Assumptions!$B$19/12)*Assumptions!$B$34</f>
        <v>3485.2216441498</v>
      </c>
      <c r="AZ38" s="8" t="n">
        <f aca="false">AZ35*Assumptions!$B$33+AZ31*((1-Assumptions!$B$19)+Assumptions!$B$19/12)*Assumptions!$B$34</f>
        <v>3542.09445390615</v>
      </c>
      <c r="BA38" s="8" t="n">
        <f aca="false">BA35*Assumptions!$B$33+BA31*((1-Assumptions!$B$19)+Assumptions!$B$19/12)*Assumptions!$B$34</f>
        <v>3597.94355308688</v>
      </c>
      <c r="BB38" s="8" t="n">
        <f aca="false">BB35*Assumptions!$B$33+BB31*((1-Assumptions!$B$19)+Assumptions!$B$19/12)*Assumptions!$B$34</f>
        <v>3652.78736848236</v>
      </c>
      <c r="BC38" s="8" t="n">
        <f aca="false">BC35*Assumptions!$B$33+BC31*((1-Assumptions!$B$19)+Assumptions!$B$19/12)*Assumptions!$B$34</f>
        <v>3706.64399520072</v>
      </c>
      <c r="BD38" s="8" t="n">
        <f aca="false">BD35*Assumptions!$B$33+BD31*((1-Assumptions!$B$19)+Assumptions!$B$19/12)*Assumptions!$B$34</f>
        <v>3759.53120263815</v>
      </c>
      <c r="BE38" s="8" t="n">
        <f aca="false">BE35*Assumptions!$B$33+BE31*((1-Assumptions!$B$19)+Assumptions!$B$19/12)*Assumptions!$B$34</f>
        <v>3811.46644034171</v>
      </c>
      <c r="BF38" s="8" t="n">
        <f aca="false">BF35*Assumptions!$B$33+BF31*((1-Assumptions!$B$19)+Assumptions!$B$19/12)*Assumptions!$B$34</f>
        <v>3862.4668437666</v>
      </c>
      <c r="BG38" s="8" t="n">
        <f aca="false">BG35*Assumptions!$B$33+BG31*((1-Assumptions!$B$19)+Assumptions!$B$19/12)*Assumptions!$B$34</f>
        <v>3912.54923992985</v>
      </c>
      <c r="BH38" s="8" t="n">
        <f aca="false">BH35*Assumptions!$B$33+BH31*((1-Assumptions!$B$19)+Assumptions!$B$19/12)*Assumptions!$B$34</f>
        <v>3961.73015296215</v>
      </c>
      <c r="BI38" s="8" t="n">
        <f aca="false">BI35*Assumptions!$B$33+BI31*((1-Assumptions!$B$19)+Assumptions!$B$19/12)*Assumptions!$B$34</f>
        <v>4010.02580955988</v>
      </c>
      <c r="BJ38" s="8" t="n">
        <f aca="false">BJ35*Assumptions!$B$33+BJ31*((1-Assumptions!$B$19)+Assumptions!$B$19/12)*Assumptions!$B$34</f>
        <v>4057.45214433885</v>
      </c>
    </row>
    <row r="39" customFormat="false" ht="15" hidden="false" customHeight="false" outlineLevel="0" collapsed="false">
      <c r="A39" s="5" t="s">
        <v>127</v>
      </c>
      <c r="C39" s="8" t="n">
        <f aca="false">Assumptions!$B$35+Assumptions!$B$36*C31</f>
        <v>253.082846666667</v>
      </c>
      <c r="D39" s="8" t="n">
        <f aca="false">Assumptions!$B$35+Assumptions!$B$36*D31</f>
        <v>259.19304876</v>
      </c>
      <c r="E39" s="8" t="n">
        <f aca="false">Assumptions!$B$35+Assumptions!$B$36*E31</f>
        <v>268.27611388232</v>
      </c>
      <c r="F39" s="8" t="n">
        <f aca="false">Assumptions!$B$35+Assumptions!$B$36*F31</f>
        <v>280.278530499105</v>
      </c>
      <c r="G39" s="8" t="n">
        <f aca="false">Assumptions!$B$35+Assumptions!$B$36*G31</f>
        <v>295.147750283454</v>
      </c>
      <c r="H39" s="8" t="n">
        <f aca="false">Assumptions!$B$35+Assumptions!$B$36*H31</f>
        <v>312.832170778352</v>
      </c>
      <c r="I39" s="8" t="n">
        <f aca="false">Assumptions!$B$35+Assumptions!$B$36*I31</f>
        <v>334.411118371009</v>
      </c>
      <c r="J39" s="8" t="n">
        <f aca="false">Assumptions!$B$35+Assumptions!$B$36*J31</f>
        <v>359.814491573664</v>
      </c>
      <c r="K39" s="8" t="n">
        <f aca="false">Assumptions!$B$35+Assumptions!$B$36*K31</f>
        <v>388.973450725338</v>
      </c>
      <c r="L39" s="8" t="n">
        <f aca="false">Assumptions!$B$35+Assumptions!$B$36*L31</f>
        <v>418.737548612282</v>
      </c>
      <c r="M39" s="8" t="n">
        <f aca="false">Assumptions!$B$35+Assumptions!$B$36*M31</f>
        <v>449.095892737261</v>
      </c>
      <c r="N39" s="8" t="n">
        <f aca="false">Assumptions!$B$35+Assumptions!$B$36*N31</f>
        <v>480.03778666799</v>
      </c>
      <c r="O39" s="8" t="n">
        <f aca="false">Assumptions!$B$35+Assumptions!$B$36*O31</f>
        <v>511.552726507966</v>
      </c>
      <c r="P39" s="8" t="n">
        <f aca="false">Assumptions!$B$35+Assumptions!$B$36*P31</f>
        <v>543.630397430823</v>
      </c>
      <c r="Q39" s="8" t="n">
        <f aca="false">Assumptions!$B$35+Assumptions!$B$36*Q31</f>
        <v>576.260670277068</v>
      </c>
      <c r="R39" s="8" t="n">
        <f aca="false">Assumptions!$B$35+Assumptions!$B$36*R31</f>
        <v>608.303598212081</v>
      </c>
      <c r="S39" s="8" t="n">
        <f aca="false">Assumptions!$B$35+Assumptions!$B$36*S31</f>
        <v>639.769753444263</v>
      </c>
      <c r="T39" s="8" t="n">
        <f aca="false">Assumptions!$B$35+Assumptions!$B$36*T31</f>
        <v>670.669517882267</v>
      </c>
      <c r="U39" s="8" t="n">
        <f aca="false">Assumptions!$B$35+Assumptions!$B$36*U31</f>
        <v>701.448434060386</v>
      </c>
      <c r="V39" s="8" t="n">
        <f aca="false">Assumptions!$B$35+Assumptions!$B$36*V31</f>
        <v>732.108677247299</v>
      </c>
      <c r="W39" s="8" t="n">
        <f aca="false">Assumptions!$B$35+Assumptions!$B$36*W31</f>
        <v>762.652383556847</v>
      </c>
      <c r="X39" s="8" t="n">
        <f aca="false">Assumptions!$B$35+Assumptions!$B$36*X31</f>
        <v>793.081650652824</v>
      </c>
      <c r="Y39" s="8" t="n">
        <f aca="false">Assumptions!$B$35+Assumptions!$B$36*Y31</f>
        <v>823.398538441073</v>
      </c>
      <c r="Z39" s="8" t="n">
        <f aca="false">Assumptions!$B$35+Assumptions!$B$36*Z31</f>
        <v>853.605069749134</v>
      </c>
      <c r="AA39" s="8" t="n">
        <f aca="false">Assumptions!$B$35+Assumptions!$B$36*AA31</f>
        <v>883.703230993649</v>
      </c>
      <c r="AB39" s="8" t="n">
        <f aca="false">Assumptions!$B$35+Assumptions!$B$36*AB31</f>
        <v>913.694972835764</v>
      </c>
      <c r="AC39" s="8" t="n">
        <f aca="false">Assumptions!$B$35+Assumptions!$B$36*AC31</f>
        <v>943.58221082472</v>
      </c>
      <c r="AD39" s="8" t="n">
        <f aca="false">Assumptions!$B$35+Assumptions!$B$36*AD31</f>
        <v>972.931478529875</v>
      </c>
      <c r="AE39" s="8" t="n">
        <f aca="false">Assumptions!$B$35+Assumptions!$B$36*AE31</f>
        <v>1001.75245941634</v>
      </c>
      <c r="AF39" s="8" t="n">
        <f aca="false">Assumptions!$B$35+Assumptions!$B$36*AF31</f>
        <v>1030.05466264684</v>
      </c>
      <c r="AG39" s="8" t="n">
        <f aca="false">Assumptions!$B$35+Assumptions!$B$36*AG31</f>
        <v>1057.8474262192</v>
      </c>
      <c r="AH39" s="8" t="n">
        <f aca="false">Assumptions!$B$35+Assumptions!$B$36*AH31</f>
        <v>1085.13992004725</v>
      </c>
      <c r="AI39" s="8" t="n">
        <f aca="false">Assumptions!$B$35+Assumptions!$B$36*AI31</f>
        <v>1111.9411489864</v>
      </c>
      <c r="AJ39" s="8" t="n">
        <f aca="false">Assumptions!$B$35+Assumptions!$B$36*AJ31</f>
        <v>1138.25995580465</v>
      </c>
      <c r="AK39" s="8" t="n">
        <f aca="false">Assumptions!$B$35+Assumptions!$B$36*AK31</f>
        <v>1164.10502410016</v>
      </c>
      <c r="AL39" s="8" t="n">
        <f aca="false">Assumptions!$B$35+Assumptions!$B$36*AL31</f>
        <v>1189.48488116636</v>
      </c>
      <c r="AM39" s="8" t="n">
        <f aca="false">Assumptions!$B$35+Assumptions!$B$36*AM31</f>
        <v>1214.40790080537</v>
      </c>
      <c r="AN39" s="8" t="n">
        <f aca="false">Assumptions!$B$35+Assumptions!$B$36*AN31</f>
        <v>1238.88230609087</v>
      </c>
      <c r="AO39" s="8" t="n">
        <f aca="false">Assumptions!$B$35+Assumptions!$B$36*AO31</f>
        <v>1262.91617208123</v>
      </c>
      <c r="AP39" s="8" t="n">
        <f aca="false">Assumptions!$B$35+Assumptions!$B$36*AP31</f>
        <v>1286.51742848377</v>
      </c>
      <c r="AQ39" s="8" t="n">
        <f aca="false">Assumptions!$B$35+Assumptions!$B$36*AQ31</f>
        <v>1309.69386227106</v>
      </c>
      <c r="AR39" s="8" t="n">
        <f aca="false">Assumptions!$B$35+Assumptions!$B$36*AR31</f>
        <v>1332.45312025019</v>
      </c>
      <c r="AS39" s="8" t="n">
        <f aca="false">Assumptions!$B$35+Assumptions!$B$36*AS31</f>
        <v>1354.80271158568</v>
      </c>
      <c r="AT39" s="8" t="n">
        <f aca="false">Assumptions!$B$35+Assumptions!$B$36*AT31</f>
        <v>1376.75001027714</v>
      </c>
      <c r="AU39" s="8" t="n">
        <f aca="false">Assumptions!$B$35+Assumptions!$B$36*AU31</f>
        <v>1398.30225759215</v>
      </c>
      <c r="AV39" s="8" t="n">
        <f aca="false">Assumptions!$B$35+Assumptions!$B$36*AV31</f>
        <v>1419.46656445549</v>
      </c>
      <c r="AW39" s="8" t="n">
        <f aca="false">Assumptions!$B$35+Assumptions!$B$36*AW31</f>
        <v>1440.24991379529</v>
      </c>
      <c r="AX39" s="8" t="n">
        <f aca="false">Assumptions!$B$35+Assumptions!$B$36*AX31</f>
        <v>1460.65916284698</v>
      </c>
      <c r="AY39" s="8" t="n">
        <f aca="false">Assumptions!$B$35+Assumptions!$B$36*AY31</f>
        <v>1480.70104541573</v>
      </c>
      <c r="AZ39" s="8" t="n">
        <f aca="false">Assumptions!$B$35+Assumptions!$B$36*AZ31</f>
        <v>1500.38217409825</v>
      </c>
      <c r="BA39" s="8" t="n">
        <f aca="false">Assumptions!$B$35+Assumptions!$B$36*BA31</f>
        <v>1519.70904246448</v>
      </c>
      <c r="BB39" s="8" t="n">
        <f aca="false">Assumptions!$B$35+Assumptions!$B$36*BB31</f>
        <v>1538.68802720012</v>
      </c>
      <c r="BC39" s="8" t="n">
        <f aca="false">Assumptions!$B$35+Assumptions!$B$36*BC31</f>
        <v>1557.32539021052</v>
      </c>
      <c r="BD39" s="8" t="n">
        <f aca="false">Assumptions!$B$35+Assumptions!$B$36*BD31</f>
        <v>1575.62728068673</v>
      </c>
      <c r="BE39" s="8" t="n">
        <f aca="false">Assumptions!$B$35+Assumptions!$B$36*BE31</f>
        <v>1593.59973713437</v>
      </c>
      <c r="BF39" s="8" t="n">
        <f aca="false">Assumptions!$B$35+Assumptions!$B$36*BF31</f>
        <v>1611.24868936595</v>
      </c>
      <c r="BG39" s="8" t="n">
        <f aca="false">Assumptions!$B$35+Assumptions!$B$36*BG31</f>
        <v>1628.57996045736</v>
      </c>
      <c r="BH39" s="8" t="n">
        <f aca="false">Assumptions!$B$35+Assumptions!$B$36*BH31</f>
        <v>1645.59926866913</v>
      </c>
      <c r="BI39" s="8" t="n">
        <f aca="false">Assumptions!$B$35+Assumptions!$B$36*BI31</f>
        <v>1662.31222933308</v>
      </c>
      <c r="BJ39" s="8" t="n">
        <f aca="false">Assumptions!$B$35+Assumptions!$B$36*BJ31</f>
        <v>1678.72435670509</v>
      </c>
    </row>
    <row r="40" customFormat="false" ht="15" hidden="false" customHeight="false" outlineLevel="0" collapsed="false">
      <c r="A40" s="5" t="s">
        <v>128</v>
      </c>
      <c r="C40" s="8" t="n">
        <f aca="false">C31/Assumptions!$B$37*Assumptions!$B$38/12</f>
        <v>47.0990462962963</v>
      </c>
      <c r="D40" s="8" t="n">
        <f aca="false">D31/Assumptions!$B$37*Assumptions!$B$38/12</f>
        <v>140.449356055556</v>
      </c>
      <c r="E40" s="8" t="n">
        <f aca="false">E31/Assumptions!$B$37*Assumptions!$B$38/12</f>
        <v>279.218406535444</v>
      </c>
      <c r="F40" s="8" t="n">
        <f aca="false">F31/Assumptions!$B$37*Assumptions!$B$38/12</f>
        <v>462.588660402992</v>
      </c>
      <c r="G40" s="8" t="n">
        <f aca="false">G31/Assumptions!$B$37*Assumptions!$B$38/12</f>
        <v>689.757295997219</v>
      </c>
      <c r="H40" s="8" t="n">
        <f aca="false">H31/Assumptions!$B$37*Assumptions!$B$38/12</f>
        <v>959.935942447047</v>
      </c>
      <c r="I40" s="8" t="n">
        <f aca="false">I31/Assumptions!$B$37*Assumptions!$B$38/12</f>
        <v>1289.61430844596</v>
      </c>
      <c r="J40" s="8" t="n">
        <f aca="false">J31/Assumptions!$B$37*Assumptions!$B$38/12</f>
        <v>1677.72139904208</v>
      </c>
      <c r="K40" s="8" t="n">
        <f aca="false">K31/Assumptions!$B$37*Assumptions!$B$38/12</f>
        <v>2123.20549719266</v>
      </c>
      <c r="L40" s="8" t="n">
        <f aca="false">L31/Assumptions!$B$37*Assumptions!$B$38/12</f>
        <v>2577.93477046541</v>
      </c>
      <c r="M40" s="8" t="n">
        <f aca="false">M31/Assumptions!$B$37*Assumptions!$B$38/12</f>
        <v>3041.74280570815</v>
      </c>
      <c r="N40" s="8" t="n">
        <f aca="false">N31/Assumptions!$B$37*Assumptions!$B$38/12</f>
        <v>3514.4661852054</v>
      </c>
      <c r="O40" s="8" t="n">
        <f aca="false">O31/Assumptions!$B$37*Assumptions!$B$38/12</f>
        <v>3995.94443276059</v>
      </c>
      <c r="P40" s="8" t="n">
        <f aca="false">P31/Assumptions!$B$37*Assumptions!$B$38/12</f>
        <v>4486.01996074868</v>
      </c>
      <c r="Q40" s="8" t="n">
        <f aca="false">Q31/Assumptions!$B$37*Assumptions!$B$38/12</f>
        <v>4984.53801812187</v>
      </c>
      <c r="R40" s="8" t="n">
        <f aca="false">R31/Assumptions!$B$37*Assumptions!$B$38/12</f>
        <v>5474.08275046234</v>
      </c>
      <c r="S40" s="8" t="n">
        <f aca="false">S31/Assumptions!$B$37*Assumptions!$B$38/12</f>
        <v>5954.81567762069</v>
      </c>
      <c r="T40" s="8" t="n">
        <f aca="false">T31/Assumptions!$B$37*Assumptions!$B$38/12</f>
        <v>6426.89541209018</v>
      </c>
      <c r="U40" s="8" t="n">
        <f aca="false">U31/Assumptions!$B$37*Assumptions!$B$38/12</f>
        <v>6897.12885370034</v>
      </c>
      <c r="V40" s="8" t="n">
        <f aca="false">V31/Assumptions!$B$37*Assumptions!$B$38/12</f>
        <v>7365.54923572262</v>
      </c>
      <c r="W40" s="8" t="n">
        <f aca="false">W31/Assumptions!$B$37*Assumptions!$B$38/12</f>
        <v>7832.18919322961</v>
      </c>
      <c r="X40" s="8" t="n">
        <f aca="false">X31/Assumptions!$B$37*Assumptions!$B$38/12</f>
        <v>8297.08077386259</v>
      </c>
      <c r="Y40" s="8" t="n">
        <f aca="false">Y31/Assumptions!$B$37*Assumptions!$B$38/12</f>
        <v>8760.25544840529</v>
      </c>
      <c r="Z40" s="8" t="n">
        <f aca="false">Z31/Assumptions!$B$37*Assumptions!$B$38/12</f>
        <v>9221.74412116732</v>
      </c>
      <c r="AA40" s="8" t="n">
        <f aca="false">AA31/Assumptions!$B$37*Assumptions!$B$38/12</f>
        <v>9681.57714018076</v>
      </c>
      <c r="AB40" s="8" t="n">
        <f aca="false">AB31/Assumptions!$B$37*Assumptions!$B$38/12</f>
        <v>10139.7843072131</v>
      </c>
      <c r="AC40" s="8" t="n">
        <f aca="false">AC31/Assumptions!$B$37*Assumptions!$B$38/12</f>
        <v>10596.3948875999</v>
      </c>
      <c r="AD40" s="8" t="n">
        <f aca="false">AD31/Assumptions!$B$37*Assumptions!$B$38/12</f>
        <v>11044.7864775398</v>
      </c>
      <c r="AE40" s="8" t="n">
        <f aca="false">AE31/Assumptions!$B$37*Assumptions!$B$38/12</f>
        <v>11485.1070188607</v>
      </c>
      <c r="AF40" s="8" t="n">
        <f aca="false">AF31/Assumptions!$B$37*Assumptions!$B$38/12</f>
        <v>11917.5017904379</v>
      </c>
      <c r="AG40" s="8" t="n">
        <f aca="false">AG31/Assumptions!$B$37*Assumptions!$B$38/12</f>
        <v>12342.1134561267</v>
      </c>
      <c r="AH40" s="8" t="n">
        <f aca="false">AH31/Assumptions!$B$37*Assumptions!$B$38/12</f>
        <v>12759.0821118331</v>
      </c>
      <c r="AI40" s="8" t="n">
        <f aca="false">AI31/Assumptions!$B$37*Assumptions!$B$38/12</f>
        <v>13168.5453317367</v>
      </c>
      <c r="AJ40" s="8" t="n">
        <f aca="false">AJ31/Assumptions!$B$37*Assumptions!$B$38/12</f>
        <v>13570.6382136821</v>
      </c>
      <c r="AK40" s="8" t="n">
        <f aca="false">AK31/Assumptions!$B$37*Assumptions!$B$38/12</f>
        <v>13965.4934237525</v>
      </c>
      <c r="AL40" s="8" t="n">
        <f aca="false">AL31/Assumptions!$B$37*Assumptions!$B$38/12</f>
        <v>14353.2412400416</v>
      </c>
      <c r="AM40" s="8" t="n">
        <f aca="false">AM31/Assumptions!$B$37*Assumptions!$B$38/12</f>
        <v>14734.0095956376</v>
      </c>
      <c r="AN40" s="8" t="n">
        <f aca="false">AN31/Assumptions!$B$37*Assumptions!$B$38/12</f>
        <v>15107.9241208327</v>
      </c>
      <c r="AO40" s="8" t="n">
        <f aca="false">AO31/Assumptions!$B$37*Assumptions!$B$38/12</f>
        <v>15475.1081845744</v>
      </c>
      <c r="AP40" s="8" t="n">
        <f aca="false">AP31/Assumptions!$B$37*Assumptions!$B$38/12</f>
        <v>15835.6829351687</v>
      </c>
      <c r="AQ40" s="8" t="n">
        <f aca="false">AQ31/Assumptions!$B$37*Assumptions!$B$38/12</f>
        <v>16189.7673402524</v>
      </c>
      <c r="AR40" s="8" t="n">
        <f aca="false">AR31/Assumptions!$B$37*Assumptions!$B$38/12</f>
        <v>16537.4782260445</v>
      </c>
      <c r="AS40" s="8" t="n">
        <f aca="false">AS31/Assumptions!$B$37*Assumptions!$B$38/12</f>
        <v>16878.9303158924</v>
      </c>
      <c r="AT40" s="8" t="n">
        <f aca="false">AT31/Assumptions!$B$37*Assumptions!$B$38/12</f>
        <v>17214.236268123</v>
      </c>
      <c r="AU40" s="8" t="n">
        <f aca="false">AU31/Assumptions!$B$37*Assumptions!$B$38/12</f>
        <v>17543.5067132134</v>
      </c>
      <c r="AV40" s="8" t="n">
        <f aca="false">AV31/Assumptions!$B$37*Assumptions!$B$38/12</f>
        <v>17866.8502902922</v>
      </c>
      <c r="AW40" s="8" t="n">
        <f aca="false">AW31/Assumptions!$B$37*Assumptions!$B$38/12</f>
        <v>18184.3736829837</v>
      </c>
      <c r="AX40" s="8" t="n">
        <f aca="false">AX31/Assumptions!$B$37*Assumptions!$B$38/12</f>
        <v>18496.1816546066</v>
      </c>
      <c r="AY40" s="8" t="n">
        <f aca="false">AY31/Assumptions!$B$37*Assumptions!$B$38/12</f>
        <v>18802.3770827404</v>
      </c>
      <c r="AZ40" s="8" t="n">
        <f aca="false">AZ31/Assumptions!$B$37*Assumptions!$B$38/12</f>
        <v>19103.0609931677</v>
      </c>
      <c r="BA40" s="8" t="n">
        <f aca="false">BA31/Assumptions!$B$37*Assumptions!$B$38/12</f>
        <v>19398.3325932073</v>
      </c>
      <c r="BB40" s="8" t="n">
        <f aca="false">BB31/Assumptions!$B$37*Assumptions!$B$38/12</f>
        <v>19688.2893044463</v>
      </c>
      <c r="BC40" s="8" t="n">
        <f aca="false">BC31/Assumptions!$B$37*Assumptions!$B$38/12</f>
        <v>19973.0267948829</v>
      </c>
      <c r="BD40" s="8" t="n">
        <f aca="false">BD31/Assumptions!$B$37*Assumptions!$B$38/12</f>
        <v>20252.6390104917</v>
      </c>
      <c r="BE40" s="8" t="n">
        <f aca="false">BE31/Assumptions!$B$37*Assumptions!$B$38/12</f>
        <v>20527.2182062195</v>
      </c>
      <c r="BF40" s="8" t="n">
        <f aca="false">BF31/Assumptions!$B$37*Assumptions!$B$38/12</f>
        <v>20796.8549764242</v>
      </c>
      <c r="BG40" s="8" t="n">
        <f aca="false">BG31/Assumptions!$B$37*Assumptions!$B$38/12</f>
        <v>21061.6382847652</v>
      </c>
      <c r="BH40" s="8" t="n">
        <f aca="false">BH31/Assumptions!$B$37*Assumptions!$B$38/12</f>
        <v>21321.6554935561</v>
      </c>
      <c r="BI40" s="8" t="n">
        <f aca="false">BI31/Assumptions!$B$37*Assumptions!$B$38/12</f>
        <v>21576.9923925888</v>
      </c>
      <c r="BJ40" s="8" t="n">
        <f aca="false">BJ31/Assumptions!$B$37*Assumptions!$B$38/12</f>
        <v>21827.7332274389</v>
      </c>
    </row>
    <row r="41" customFormat="false" ht="15" hidden="false" customHeight="false" outlineLevel="0" collapsed="false">
      <c r="A41" s="10" t="s">
        <v>129</v>
      </c>
      <c r="C41" s="11" t="n">
        <f aca="false">SUM(C38:C40)</f>
        <v>307.191053144296</v>
      </c>
      <c r="D41" s="11" t="n">
        <f aca="false">SUM(D38:D40)</f>
        <v>420.543720476292</v>
      </c>
      <c r="E41" s="11" t="n">
        <f aca="false">SUM(E38:E40)</f>
        <v>589.047092940607</v>
      </c>
      <c r="F41" s="11" t="n">
        <f aca="false">SUM(F38:F40)</f>
        <v>811.708457844861</v>
      </c>
      <c r="G41" s="11" t="n">
        <f aca="false">SUM(G38:G40)</f>
        <v>1087.55297132514</v>
      </c>
      <c r="H41" s="11" t="n">
        <f aca="false">SUM(H38:H40)</f>
        <v>1415.62333670706</v>
      </c>
      <c r="I41" s="11" t="n">
        <f aca="false">SUM(I38:I40)</f>
        <v>1816.2014053453</v>
      </c>
      <c r="J41" s="11" t="n">
        <f aca="false">SUM(J38:J40)</f>
        <v>2287.98203858123</v>
      </c>
      <c r="K41" s="11" t="n">
        <f aca="false">SUM(K38:K40)</f>
        <v>2829.6835902521</v>
      </c>
      <c r="L41" s="11" t="n">
        <f aca="false">SUM(L38:L40)</f>
        <v>3382.85643068179</v>
      </c>
      <c r="M41" s="11" t="n">
        <f aca="false">SUM(M38:M40)</f>
        <v>3947.29407667262</v>
      </c>
      <c r="N41" s="11" t="n">
        <f aca="false">SUM(N38:N40)</f>
        <v>4522.79376172452</v>
      </c>
      <c r="O41" s="11" t="n">
        <f aca="false">SUM(O38:O40)</f>
        <v>5135.44681509329</v>
      </c>
      <c r="P41" s="11" t="n">
        <f aca="false">SUM(P38:P40)</f>
        <v>5735.75552594299</v>
      </c>
      <c r="Q41" s="11" t="n">
        <f aca="false">SUM(Q38:Q40)</f>
        <v>6346.60561307628</v>
      </c>
      <c r="R41" s="11" t="n">
        <f aca="false">SUM(R38:R40)</f>
        <v>6946.46039864118</v>
      </c>
      <c r="S41" s="11" t="n">
        <f aca="false">SUM(S38:S40)</f>
        <v>7535.5177980659</v>
      </c>
      <c r="T41" s="11" t="n">
        <f aca="false">SUM(T38:T40)</f>
        <v>8113.97216430098</v>
      </c>
      <c r="U41" s="11" t="n">
        <f aca="false">SUM(U38:U40)</f>
        <v>8690.49651887241</v>
      </c>
      <c r="V41" s="11" t="n">
        <f aca="false">SUM(V38:V40)</f>
        <v>9265.12560199014</v>
      </c>
      <c r="W41" s="11" t="n">
        <f aca="false">SUM(W38:W40)</f>
        <v>9837.89352854033</v>
      </c>
      <c r="X41" s="11" t="n">
        <f aca="false">SUM(X38:X40)</f>
        <v>10408.8337993412</v>
      </c>
      <c r="Y41" s="11" t="n">
        <f aca="false">SUM(Y38:Y40)</f>
        <v>10977.9793121962</v>
      </c>
      <c r="Z41" s="11" t="n">
        <f aca="false">SUM(Z38:Z40)</f>
        <v>11545.3623727484</v>
      </c>
      <c r="AA41" s="11" t="n">
        <f aca="false">SUM(AA38:AA40)</f>
        <v>12179.1127249881</v>
      </c>
      <c r="AB41" s="11" t="n">
        <f aca="false">SUM(AB38:AB40)</f>
        <v>12746.4182944909</v>
      </c>
      <c r="AC41" s="11" t="n">
        <f aca="false">SUM(AC38:AC40)</f>
        <v>13312.0580019859</v>
      </c>
      <c r="AD41" s="11" t="n">
        <f aca="false">SUM(AD38:AD40)</f>
        <v>13867.5161947459</v>
      </c>
      <c r="AE41" s="11" t="n">
        <f aca="false">SUM(AE38:AE40)</f>
        <v>14412.9761400363</v>
      </c>
      <c r="AF41" s="11" t="n">
        <f aca="false">SUM(AF38:AF40)</f>
        <v>14948.6178063114</v>
      </c>
      <c r="AG41" s="11" t="n">
        <f aca="false">SUM(AG38:AG40)</f>
        <v>15474.6179225936</v>
      </c>
      <c r="AH41" s="11" t="n">
        <f aca="false">SUM(AH38:AH40)</f>
        <v>15991.1500367827</v>
      </c>
      <c r="AI41" s="11" t="n">
        <f aca="false">SUM(AI38:AI40)</f>
        <v>16498.3845729164</v>
      </c>
      <c r="AJ41" s="11" t="n">
        <f aca="false">SUM(AJ38:AJ40)</f>
        <v>16996.4888873997</v>
      </c>
      <c r="AK41" s="11" t="n">
        <f aca="false">SUM(AK38:AK40)</f>
        <v>17485.6273242223</v>
      </c>
      <c r="AL41" s="11" t="n">
        <f aca="false">SUM(AL38:AL40)</f>
        <v>17965.9612691821</v>
      </c>
      <c r="AM41" s="11" t="n">
        <f aca="false">SUM(AM38:AM40)</f>
        <v>18548.1268739054</v>
      </c>
      <c r="AN41" s="11" t="n">
        <f aca="false">SUM(AN38:AN40)</f>
        <v>19014.2099772011</v>
      </c>
      <c r="AO41" s="11" t="n">
        <f aca="false">SUM(AO38:AO40)</f>
        <v>19471.9035846375</v>
      </c>
      <c r="AP41" s="11" t="n">
        <f aca="false">SUM(AP38:AP40)</f>
        <v>19921.35870714</v>
      </c>
      <c r="AQ41" s="11" t="n">
        <f aca="false">SUM(AQ38:AQ40)</f>
        <v>20362.7236374375</v>
      </c>
      <c r="AR41" s="11" t="n">
        <f aca="false">SUM(AR38:AR40)</f>
        <v>20796.1439989896</v>
      </c>
      <c r="AS41" s="11" t="n">
        <f aca="false">SUM(AS38:AS40)</f>
        <v>21221.7627940338</v>
      </c>
      <c r="AT41" s="11" t="n">
        <f aca="false">SUM(AT38:AT40)</f>
        <v>21639.7204507671</v>
      </c>
      <c r="AU41" s="11" t="n">
        <f aca="false">SUM(AU38:AU40)</f>
        <v>22050.1548696793</v>
      </c>
      <c r="AV41" s="11" t="n">
        <f aca="false">SUM(AV38:AV40)</f>
        <v>22453.2014690511</v>
      </c>
      <c r="AW41" s="11" t="n">
        <f aca="false">SUM(AW38:AW40)</f>
        <v>22848.9932296342</v>
      </c>
      <c r="AX41" s="11" t="n">
        <f aca="false">SUM(AX38:AX40)</f>
        <v>23237.6607385268</v>
      </c>
      <c r="AY41" s="11" t="n">
        <f aca="false">SUM(AY38:AY40)</f>
        <v>23768.2997723059</v>
      </c>
      <c r="AZ41" s="11" t="n">
        <f aca="false">SUM(AZ38:AZ40)</f>
        <v>24145.5376211721</v>
      </c>
      <c r="BA41" s="11" t="n">
        <f aca="false">SUM(BA38:BA40)</f>
        <v>24515.9851887587</v>
      </c>
      <c r="BB41" s="11" t="n">
        <f aca="false">SUM(BB38:BB40)</f>
        <v>24879.7647001288</v>
      </c>
      <c r="BC41" s="11" t="n">
        <f aca="false">SUM(BC38:BC40)</f>
        <v>25236.9961802942</v>
      </c>
      <c r="BD41" s="11" t="n">
        <f aca="false">SUM(BD38:BD40)</f>
        <v>25587.7974938166</v>
      </c>
      <c r="BE41" s="11" t="n">
        <f aca="false">SUM(BE38:BE40)</f>
        <v>25932.2843836956</v>
      </c>
      <c r="BF41" s="11" t="n">
        <f aca="false">SUM(BF38:BF40)</f>
        <v>26270.5705095568</v>
      </c>
      <c r="BG41" s="11" t="n">
        <f aca="false">SUM(BG38:BG40)</f>
        <v>26602.7674851525</v>
      </c>
      <c r="BH41" s="11" t="n">
        <f aca="false">SUM(BH38:BH40)</f>
        <v>26928.9849151874</v>
      </c>
      <c r="BI41" s="11" t="n">
        <f aca="false">SUM(BI38:BI40)</f>
        <v>27249.3304314818</v>
      </c>
      <c r="BJ41" s="11" t="n">
        <f aca="false">SUM(BJ38:BJ40)</f>
        <v>27563.9097284828</v>
      </c>
    </row>
    <row r="42" customFormat="false" ht="15" hidden="false" customHeight="false" outlineLevel="0" collapsed="false">
      <c r="A42" s="10" t="s">
        <v>130</v>
      </c>
      <c r="C42" s="11" t="n">
        <f aca="false">C35-C41</f>
        <v>-96.3243411442963</v>
      </c>
      <c r="D42" s="11" t="n">
        <f aca="false">D35-D41</f>
        <v>208.260814707708</v>
      </c>
      <c r="E42" s="11" t="n">
        <f aca="false">E35-E41</f>
        <v>661.039096610081</v>
      </c>
      <c r="F42" s="11" t="n">
        <f aca="false">F35-F41</f>
        <v>1259.34302829391</v>
      </c>
      <c r="G42" s="11" t="n">
        <f aca="false">G35-G41</f>
        <v>2000.55314806314</v>
      </c>
      <c r="H42" s="11" t="n">
        <f aca="false">H35-H41</f>
        <v>2882.09714453223</v>
      </c>
      <c r="I42" s="11" t="n">
        <f aca="false">I35-I41</f>
        <v>3966.44529123168</v>
      </c>
      <c r="J42" s="11" t="n">
        <f aca="false">J35-J41</f>
        <v>5249.94711345737</v>
      </c>
      <c r="K42" s="11" t="n">
        <f aca="false">K35-K41</f>
        <v>6729.0178450498</v>
      </c>
      <c r="L42" s="11" t="n">
        <f aca="false">L35-L41</f>
        <v>8246.46158678468</v>
      </c>
      <c r="M42" s="11" t="n">
        <f aca="false">M35-M41</f>
        <v>9801.58762447945</v>
      </c>
      <c r="N42" s="11" t="n">
        <f aca="false">N35-N41</f>
        <v>11393.7176768068</v>
      </c>
      <c r="O42" s="11" t="n">
        <f aca="false">O35-O41</f>
        <v>13902.4623275764</v>
      </c>
      <c r="P42" s="11" t="n">
        <f aca="false">P35-P41</f>
        <v>15676.3945605586</v>
      </c>
      <c r="Q42" s="11" t="n">
        <f aca="false">Q35-Q41</f>
        <v>17487.5781902683</v>
      </c>
      <c r="R42" s="11" t="n">
        <f aca="false">R35-R41</f>
        <v>19266.1605146432</v>
      </c>
      <c r="S42" s="11" t="n">
        <f aca="false">S35-S41</f>
        <v>21012.7283571794</v>
      </c>
      <c r="T42" s="11" t="n">
        <f aca="false">T35-T41</f>
        <v>22727.8579785499</v>
      </c>
      <c r="U42" s="11" t="n">
        <f aca="false">U35-U41</f>
        <v>24447.4064202371</v>
      </c>
      <c r="V42" s="11" t="n">
        <f aca="false">V35-V41</f>
        <v>26171.2941434754</v>
      </c>
      <c r="W42" s="11" t="n">
        <f aca="false">W35-W41</f>
        <v>27899.4430411969</v>
      </c>
      <c r="X42" s="11" t="n">
        <f aca="false">X35-X41</f>
        <v>29631.7764122607</v>
      </c>
      <c r="Y42" s="11" t="n">
        <f aca="false">Y35-Y41</f>
        <v>31368.2189361469</v>
      </c>
      <c r="Z42" s="11" t="n">
        <f aca="false">Z35-Z41</f>
        <v>33108.6966481045</v>
      </c>
      <c r="AA42" s="11" t="n">
        <f aca="false">AA35-AA41</f>
        <v>37133.2464758938</v>
      </c>
      <c r="AB42" s="11" t="n">
        <f aca="false">AB35-AB41</f>
        <v>38993.8393717071</v>
      </c>
      <c r="AC42" s="11" t="n">
        <f aca="false">AC35-AC41</f>
        <v>40858.3579436041</v>
      </c>
      <c r="AD42" s="11" t="n">
        <f aca="false">AD35-AD41</f>
        <v>42689.3151812069</v>
      </c>
      <c r="AE42" s="11" t="n">
        <f aca="false">AE35-AE41</f>
        <v>44487.3151885329</v>
      </c>
      <c r="AF42" s="11" t="n">
        <f aca="false">AF35-AF41</f>
        <v>46252.951195727</v>
      </c>
      <c r="AG42" s="11" t="n">
        <f aca="false">AG35-AG41</f>
        <v>47986.8057547917</v>
      </c>
      <c r="AH42" s="11" t="n">
        <f aca="false">AH35-AH41</f>
        <v>49689.4509317931</v>
      </c>
      <c r="AI42" s="11" t="n">
        <f aca="false">AI35-AI41</f>
        <v>51361.4484956086</v>
      </c>
      <c r="AJ42" s="11" t="n">
        <f aca="false">AJ35-AJ41</f>
        <v>53003.3501032753</v>
      </c>
      <c r="AK42" s="11" t="n">
        <f aca="false">AK35-AK41</f>
        <v>54615.6974820041</v>
      </c>
      <c r="AL42" s="11" t="n">
        <f aca="false">AL35-AL41</f>
        <v>56199.0226079157</v>
      </c>
      <c r="AM42" s="11" t="n">
        <f aca="false">AM35-AM41</f>
        <v>61452.9450650228</v>
      </c>
      <c r="AN42" s="11" t="n">
        <f aca="false">AN35-AN41</f>
        <v>63076.3997300791</v>
      </c>
      <c r="AO42" s="11" t="n">
        <f aca="false">AO35-AO41</f>
        <v>64670.6322111643</v>
      </c>
      <c r="AP42" s="11" t="n">
        <f aca="false">AP35-AP41</f>
        <v>66236.16850759</v>
      </c>
      <c r="AQ42" s="11" t="n">
        <f aca="false">AQ35-AQ41</f>
        <v>67773.5251506801</v>
      </c>
      <c r="AR42" s="11" t="n">
        <f aca="false">AR35-AR41</f>
        <v>69283.2093741945</v>
      </c>
      <c r="AS42" s="11" t="n">
        <f aca="false">AS35-AS41</f>
        <v>70765.7192816857</v>
      </c>
      <c r="AT42" s="11" t="n">
        <f aca="false">AT35-AT41</f>
        <v>72221.544010842</v>
      </c>
      <c r="AU42" s="11" t="n">
        <f aca="false">AU35-AU41</f>
        <v>73651.1638948736</v>
      </c>
      <c r="AV42" s="11" t="n">
        <f aca="false">AV35-AV41</f>
        <v>75055.0506209925</v>
      </c>
      <c r="AW42" s="11" t="n">
        <f aca="false">AW35-AW41</f>
        <v>76433.6673860413</v>
      </c>
      <c r="AX42" s="11" t="n">
        <f aca="false">AX35-AX41</f>
        <v>77787.4690493193</v>
      </c>
      <c r="AY42" s="11" t="n">
        <f aca="false">AY35-AY41</f>
        <v>84104.7464683575</v>
      </c>
      <c r="AZ42" s="11" t="n">
        <f aca="false">AZ35-AZ41</f>
        <v>85491.8287035746</v>
      </c>
      <c r="BA42" s="11" t="n">
        <f aca="false">BA35-BA41</f>
        <v>86853.9434585579</v>
      </c>
      <c r="BB42" s="11" t="n">
        <f aca="false">BB35-BB41</f>
        <v>88191.5401479514</v>
      </c>
      <c r="BC42" s="11" t="n">
        <f aca="false">BC35-BC41</f>
        <v>89505.0600969359</v>
      </c>
      <c r="BD42" s="11" t="n">
        <f aca="false">BD35-BD41</f>
        <v>90794.9366868386</v>
      </c>
      <c r="BE42" s="11" t="n">
        <f aca="false">BE35-BE41</f>
        <v>92061.5954981232</v>
      </c>
      <c r="BF42" s="11" t="n">
        <f aca="false">BF35-BF41</f>
        <v>93305.4544508045</v>
      </c>
      <c r="BG42" s="11" t="n">
        <f aca="false">BG35-BG41</f>
        <v>94526.9239423377</v>
      </c>
      <c r="BH42" s="11" t="n">
        <f aca="false">BH35-BH41</f>
        <v>95726.4069830232</v>
      </c>
      <c r="BI42" s="11" t="n">
        <f aca="false">BI35-BI41</f>
        <v>96904.2993289763</v>
      </c>
      <c r="BJ42" s="11" t="n">
        <f aca="false">BJ35-BJ41</f>
        <v>98060.9896127024</v>
      </c>
    </row>
    <row r="43" customFormat="false" ht="15" hidden="false" customHeight="false" outlineLevel="0" collapsed="false">
      <c r="A43" s="5" t="s">
        <v>13</v>
      </c>
      <c r="C43" s="9" t="n">
        <f aca="false">IF(C35=0,0,C42/C35)</f>
        <v>-0.456802025462873</v>
      </c>
      <c r="D43" s="9" t="n">
        <f aca="false">IF(D35=0,0,D42/D35)</f>
        <v>0.331201196961417</v>
      </c>
      <c r="E43" s="9" t="n">
        <f aca="false">IF(E35=0,0,E42/E35)</f>
        <v>0.528794816017986</v>
      </c>
      <c r="F43" s="9" t="n">
        <f aca="false">IF(F35=0,0,F42/F35)</f>
        <v>0.608069396981437</v>
      </c>
      <c r="G43" s="9" t="n">
        <f aca="false">IF(G35=0,0,G42/G35)</f>
        <v>0.64782525946985</v>
      </c>
      <c r="H43" s="9" t="n">
        <f aca="false">IF(H35=0,0,H42/H35)</f>
        <v>0.670610654441898</v>
      </c>
      <c r="I43" s="9" t="n">
        <f aca="false">IF(I35=0,0,I42/I35)</f>
        <v>0.685922121712815</v>
      </c>
      <c r="J43" s="9" t="n">
        <f aca="false">IF(J35=0,0,J42/J35)</f>
        <v>0.69647074250327</v>
      </c>
      <c r="K43" s="9" t="n">
        <f aca="false">IF(K35=0,0,K42/K35)</f>
        <v>0.703967781669422</v>
      </c>
      <c r="L43" s="9" t="n">
        <f aca="false">IF(L35=0,0,L42/L35)</f>
        <v>0.709109646360951</v>
      </c>
      <c r="M43" s="9" t="n">
        <f aca="false">IF(M35=0,0,M42/M35)</f>
        <v>0.712900717129462</v>
      </c>
      <c r="N43" s="9" t="n">
        <f aca="false">IF(N35=0,0,N42/N35)</f>
        <v>0.7158426468519</v>
      </c>
      <c r="O43" s="9" t="n">
        <f aca="false">IF(O35=0,0,O42/O35)</f>
        <v>0.730251532528684</v>
      </c>
      <c r="P43" s="9" t="n">
        <f aca="false">IF(P35=0,0,P42/P35)</f>
        <v>0.732126129194337</v>
      </c>
      <c r="Q43" s="9" t="n">
        <f aca="false">IF(Q35=0,0,Q42/Q35)</f>
        <v>0.733718357404558</v>
      </c>
      <c r="R43" s="9" t="n">
        <f aca="false">IF(R35=0,0,R42/R35)</f>
        <v>0.734995580120691</v>
      </c>
      <c r="S43" s="9" t="n">
        <f aca="false">IF(S35=0,0,S42/S35)</f>
        <v>0.736042706193306</v>
      </c>
      <c r="T43" s="9" t="n">
        <f aca="false">IF(T35=0,0,T42/T35)</f>
        <v>0.736916644481884</v>
      </c>
      <c r="U43" s="9" t="n">
        <f aca="false">IF(U35=0,0,U42/U35)</f>
        <v>0.737747541392674</v>
      </c>
      <c r="V43" s="9" t="n">
        <f aca="false">IF(V35=0,0,V42/V35)</f>
        <v>0.738542277449581</v>
      </c>
      <c r="W43" s="9" t="n">
        <f aca="false">IF(W35=0,0,W42/W35)</f>
        <v>0.739306097812169</v>
      </c>
      <c r="X43" s="9" t="n">
        <f aca="false">IF(X35=0,0,X42/X35)</f>
        <v>0.740043077657064</v>
      </c>
      <c r="Y43" s="9" t="n">
        <f aca="false">IF(Y35=0,0,Y42/Y35)</f>
        <v>0.740756437028541</v>
      </c>
      <c r="Z43" s="9" t="n">
        <f aca="false">IF(Z35=0,0,Z42/Z35)</f>
        <v>0.741448759062264</v>
      </c>
      <c r="AA43" s="9" t="n">
        <f aca="false">IF(AA35=0,0,AA42/AA35)</f>
        <v>0.753021089999476</v>
      </c>
      <c r="AB43" s="9" t="n">
        <f aca="false">IF(AB35=0,0,AB42/AB35)</f>
        <v>0.753646022083532</v>
      </c>
      <c r="AC43" s="9" t="n">
        <f aca="false">IF(AC35=0,0,AC42/AC35)</f>
        <v>0.754255938973095</v>
      </c>
      <c r="AD43" s="9" t="n">
        <f aca="false">IF(AD35=0,0,AD42/AD35)</f>
        <v>0.754803869711799</v>
      </c>
      <c r="AE43" s="9" t="n">
        <f aca="false">IF(AE35=0,0,AE42/AE35)</f>
        <v>0.755298729175464</v>
      </c>
      <c r="AF43" s="9" t="n">
        <f aca="false">IF(AF35=0,0,AF42/AF35)</f>
        <v>0.755747801076578</v>
      </c>
      <c r="AG43" s="9" t="n">
        <f aca="false">IF(AG35=0,0,AG42/AG35)</f>
        <v>0.756157094721655</v>
      </c>
      <c r="AH43" s="9" t="n">
        <f aca="false">IF(AH35=0,0,AH42/AH35)</f>
        <v>0.756531612059495</v>
      </c>
      <c r="AI43" s="9" t="n">
        <f aca="false">IF(AI35=0,0,AI42/AI35)</f>
        <v>0.756875550279407</v>
      </c>
      <c r="AJ43" s="9" t="n">
        <f aca="false">IF(AJ35=0,0,AJ42/AJ35)</f>
        <v>0.757192457404597</v>
      </c>
      <c r="AK43" s="9" t="n">
        <f aca="false">IF(AK35=0,0,AK42/AK35)</f>
        <v>0.757485353130262</v>
      </c>
      <c r="AL43" s="9" t="n">
        <f aca="false">IF(AL35=0,0,AL42/AL35)</f>
        <v>0.757756823638574</v>
      </c>
      <c r="AM43" s="9" t="n">
        <f aca="false">IF(AM35=0,0,AM42/AM35)</f>
        <v>0.768151520668813</v>
      </c>
      <c r="AN43" s="9" t="n">
        <f aca="false">IF(AN35=0,0,AN42/AN35)</f>
        <v>0.768375334949975</v>
      </c>
      <c r="AO43" s="9" t="n">
        <f aca="false">IF(AO35=0,0,AO42/AO35)</f>
        <v>0.768584302808604</v>
      </c>
      <c r="AP43" s="9" t="n">
        <f aca="false">IF(AP35=0,0,AP42/AP35)</f>
        <v>0.768779822829756</v>
      </c>
      <c r="AQ43" s="9" t="n">
        <f aca="false">IF(AQ35=0,0,AQ42/AQ35)</f>
        <v>0.76896312337515</v>
      </c>
      <c r="AR43" s="9" t="n">
        <f aca="false">IF(AR35=0,0,AR42/AR35)</f>
        <v>0.769135287718657</v>
      </c>
      <c r="AS43" s="9" t="n">
        <f aca="false">IF(AS35=0,0,AS42/AS35)</f>
        <v>0.769297274855669</v>
      </c>
      <c r="AT43" s="9" t="n">
        <f aca="false">IF(AT35=0,0,AT42/AT35)</f>
        <v>0.769449936830777</v>
      </c>
      <c r="AU43" s="9" t="n">
        <f aca="false">IF(AU35=0,0,AU42/AU35)</f>
        <v>0.769594033244957</v>
      </c>
      <c r="AV43" s="9" t="n">
        <f aca="false">IF(AV35=0,0,AV42/AV35)</f>
        <v>0.769730243463735</v>
      </c>
      <c r="AW43" s="9" t="n">
        <f aca="false">IF(AW35=0,0,AW42/AW35)</f>
        <v>0.769859176940444</v>
      </c>
      <c r="AX43" s="9" t="n">
        <f aca="false">IF(AX35=0,0,AX42/AX35)</f>
        <v>0.76998138198559</v>
      </c>
      <c r="AY43" s="9" t="n">
        <f aca="false">IF(AY35=0,0,AY42/AY35)</f>
        <v>0.779664145950981</v>
      </c>
      <c r="AZ43" s="9" t="n">
        <f aca="false">IF(AZ35=0,0,AZ42/AZ35)</f>
        <v>0.779769083930265</v>
      </c>
      <c r="BA43" s="9" t="n">
        <f aca="false">IF(BA35=0,0,BA42/BA35)</f>
        <v>0.779868897407708</v>
      </c>
      <c r="BB43" s="9" t="n">
        <f aca="false">IF(BB35=0,0,BB42/BB35)</f>
        <v>0.77996393750336</v>
      </c>
      <c r="BC43" s="9" t="n">
        <f aca="false">IF(BC35=0,0,BC42/BC35)</f>
        <v>0.780054524042007</v>
      </c>
      <c r="BD43" s="9" t="n">
        <f aca="false">IF(BD35=0,0,BD42/BD35)</f>
        <v>0.780140948965008</v>
      </c>
      <c r="BE43" s="9" t="n">
        <f aca="false">IF(BE35=0,0,BE42/BE35)</f>
        <v>0.780223479305291</v>
      </c>
      <c r="BF43" s="9" t="n">
        <f aca="false">IF(BF35=0,0,BF42/BF35)</f>
        <v>0.780302359789387</v>
      </c>
      <c r="BG43" s="9" t="n">
        <f aca="false">IF(BG35=0,0,BG42/BG35)</f>
        <v>0.780377815119943</v>
      </c>
      <c r="BH43" s="9" t="n">
        <f aca="false">IF(BH35=0,0,BH42/BH35)</f>
        <v>0.780450051983566</v>
      </c>
      <c r="BI43" s="9" t="n">
        <f aca="false">IF(BI35=0,0,BI42/BI35)</f>
        <v>0.780519260821801</v>
      </c>
      <c r="BJ43" s="9" t="n">
        <f aca="false">IF(BJ35=0,0,BJ42/BJ35)</f>
        <v>0.780585617397218</v>
      </c>
    </row>
    <row r="45" customFormat="false" ht="15" hidden="false" customHeight="false" outlineLevel="0" collapsed="false">
      <c r="A45" s="10" t="s">
        <v>131</v>
      </c>
    </row>
    <row r="46" customFormat="false" ht="15" hidden="false" customHeight="false" outlineLevel="0" collapsed="false">
      <c r="A46" s="5" t="s">
        <v>132</v>
      </c>
      <c r="C46" s="8" t="n">
        <f aca="false">INDEX(Assumptions!$B$50:$F$50,C5)*Assumptions!$B$39/12</f>
        <v>2916.66666666667</v>
      </c>
      <c r="D46" s="8" t="n">
        <f aca="false">INDEX(Assumptions!$B$50:$F$50,D5)*Assumptions!$B$39/12</f>
        <v>2916.66666666667</v>
      </c>
      <c r="E46" s="8" t="n">
        <f aca="false">INDEX(Assumptions!$B$50:$F$50,E5)*Assumptions!$B$39/12</f>
        <v>2916.66666666667</v>
      </c>
      <c r="F46" s="8" t="n">
        <f aca="false">INDEX(Assumptions!$B$50:$F$50,F5)*Assumptions!$B$39/12</f>
        <v>2916.66666666667</v>
      </c>
      <c r="G46" s="8" t="n">
        <f aca="false">INDEX(Assumptions!$B$50:$F$50,G5)*Assumptions!$B$39/12</f>
        <v>2916.66666666667</v>
      </c>
      <c r="H46" s="8" t="n">
        <f aca="false">INDEX(Assumptions!$B$50:$F$50,H5)*Assumptions!$B$39/12</f>
        <v>2916.66666666667</v>
      </c>
      <c r="I46" s="8" t="n">
        <f aca="false">INDEX(Assumptions!$B$50:$F$50,I5)*Assumptions!$B$39/12</f>
        <v>2916.66666666667</v>
      </c>
      <c r="J46" s="8" t="n">
        <f aca="false">INDEX(Assumptions!$B$50:$F$50,J5)*Assumptions!$B$39/12</f>
        <v>2916.66666666667</v>
      </c>
      <c r="K46" s="8" t="n">
        <f aca="false">INDEX(Assumptions!$B$50:$F$50,K5)*Assumptions!$B$39/12</f>
        <v>2916.66666666667</v>
      </c>
      <c r="L46" s="8" t="n">
        <f aca="false">INDEX(Assumptions!$B$50:$F$50,L5)*Assumptions!$B$39/12</f>
        <v>2916.66666666667</v>
      </c>
      <c r="M46" s="8" t="n">
        <f aca="false">INDEX(Assumptions!$B$50:$F$50,M5)*Assumptions!$B$39/12</f>
        <v>2916.66666666667</v>
      </c>
      <c r="N46" s="8" t="n">
        <f aca="false">INDEX(Assumptions!$B$50:$F$50,N5)*Assumptions!$B$39/12</f>
        <v>2916.66666666667</v>
      </c>
      <c r="O46" s="8" t="n">
        <f aca="false">INDEX(Assumptions!$B$50:$F$50,O5)*Assumptions!$B$39/12</f>
        <v>5833.33333333333</v>
      </c>
      <c r="P46" s="8" t="n">
        <f aca="false">INDEX(Assumptions!$B$50:$F$50,P5)*Assumptions!$B$39/12</f>
        <v>5833.33333333333</v>
      </c>
      <c r="Q46" s="8" t="n">
        <f aca="false">INDEX(Assumptions!$B$50:$F$50,Q5)*Assumptions!$B$39/12</f>
        <v>5833.33333333333</v>
      </c>
      <c r="R46" s="8" t="n">
        <f aca="false">INDEX(Assumptions!$B$50:$F$50,R5)*Assumptions!$B$39/12</f>
        <v>5833.33333333333</v>
      </c>
      <c r="S46" s="8" t="n">
        <f aca="false">INDEX(Assumptions!$B$50:$F$50,S5)*Assumptions!$B$39/12</f>
        <v>5833.33333333333</v>
      </c>
      <c r="T46" s="8" t="n">
        <f aca="false">INDEX(Assumptions!$B$50:$F$50,T5)*Assumptions!$B$39/12</f>
        <v>5833.33333333333</v>
      </c>
      <c r="U46" s="8" t="n">
        <f aca="false">INDEX(Assumptions!$B$50:$F$50,U5)*Assumptions!$B$39/12</f>
        <v>5833.33333333333</v>
      </c>
      <c r="V46" s="8" t="n">
        <f aca="false">INDEX(Assumptions!$B$50:$F$50,V5)*Assumptions!$B$39/12</f>
        <v>5833.33333333333</v>
      </c>
      <c r="W46" s="8" t="n">
        <f aca="false">INDEX(Assumptions!$B$50:$F$50,W5)*Assumptions!$B$39/12</f>
        <v>5833.33333333333</v>
      </c>
      <c r="X46" s="8" t="n">
        <f aca="false">INDEX(Assumptions!$B$50:$F$50,X5)*Assumptions!$B$39/12</f>
        <v>5833.33333333333</v>
      </c>
      <c r="Y46" s="8" t="n">
        <f aca="false">INDEX(Assumptions!$B$50:$F$50,Y5)*Assumptions!$B$39/12</f>
        <v>5833.33333333333</v>
      </c>
      <c r="Z46" s="8" t="n">
        <f aca="false">INDEX(Assumptions!$B$50:$F$50,Z5)*Assumptions!$B$39/12</f>
        <v>5833.33333333333</v>
      </c>
      <c r="AA46" s="8" t="n">
        <f aca="false">INDEX(Assumptions!$B$50:$F$50,AA5)*Assumptions!$B$39/12</f>
        <v>11666.6666666667</v>
      </c>
      <c r="AB46" s="8" t="n">
        <f aca="false">INDEX(Assumptions!$B$50:$F$50,AB5)*Assumptions!$B$39/12</f>
        <v>11666.6666666667</v>
      </c>
      <c r="AC46" s="8" t="n">
        <f aca="false">INDEX(Assumptions!$B$50:$F$50,AC5)*Assumptions!$B$39/12</f>
        <v>11666.6666666667</v>
      </c>
      <c r="AD46" s="8" t="n">
        <f aca="false">INDEX(Assumptions!$B$50:$F$50,AD5)*Assumptions!$B$39/12</f>
        <v>11666.6666666667</v>
      </c>
      <c r="AE46" s="8" t="n">
        <f aca="false">INDEX(Assumptions!$B$50:$F$50,AE5)*Assumptions!$B$39/12</f>
        <v>11666.6666666667</v>
      </c>
      <c r="AF46" s="8" t="n">
        <f aca="false">INDEX(Assumptions!$B$50:$F$50,AF5)*Assumptions!$B$39/12</f>
        <v>11666.6666666667</v>
      </c>
      <c r="AG46" s="8" t="n">
        <f aca="false">INDEX(Assumptions!$B$50:$F$50,AG5)*Assumptions!$B$39/12</f>
        <v>11666.6666666667</v>
      </c>
      <c r="AH46" s="8" t="n">
        <f aca="false">INDEX(Assumptions!$B$50:$F$50,AH5)*Assumptions!$B$39/12</f>
        <v>11666.6666666667</v>
      </c>
      <c r="AI46" s="8" t="n">
        <f aca="false">INDEX(Assumptions!$B$50:$F$50,AI5)*Assumptions!$B$39/12</f>
        <v>11666.6666666667</v>
      </c>
      <c r="AJ46" s="8" t="n">
        <f aca="false">INDEX(Assumptions!$B$50:$F$50,AJ5)*Assumptions!$B$39/12</f>
        <v>11666.6666666667</v>
      </c>
      <c r="AK46" s="8" t="n">
        <f aca="false">INDEX(Assumptions!$B$50:$F$50,AK5)*Assumptions!$B$39/12</f>
        <v>11666.6666666667</v>
      </c>
      <c r="AL46" s="8" t="n">
        <f aca="false">INDEX(Assumptions!$B$50:$F$50,AL5)*Assumptions!$B$39/12</f>
        <v>11666.6666666667</v>
      </c>
      <c r="AM46" s="8" t="n">
        <f aca="false">INDEX(Assumptions!$B$50:$F$50,AM5)*Assumptions!$B$39/12</f>
        <v>17500</v>
      </c>
      <c r="AN46" s="8" t="n">
        <f aca="false">INDEX(Assumptions!$B$50:$F$50,AN5)*Assumptions!$B$39/12</f>
        <v>17500</v>
      </c>
      <c r="AO46" s="8" t="n">
        <f aca="false">INDEX(Assumptions!$B$50:$F$50,AO5)*Assumptions!$B$39/12</f>
        <v>17500</v>
      </c>
      <c r="AP46" s="8" t="n">
        <f aca="false">INDEX(Assumptions!$B$50:$F$50,AP5)*Assumptions!$B$39/12</f>
        <v>17500</v>
      </c>
      <c r="AQ46" s="8" t="n">
        <f aca="false">INDEX(Assumptions!$B$50:$F$50,AQ5)*Assumptions!$B$39/12</f>
        <v>17500</v>
      </c>
      <c r="AR46" s="8" t="n">
        <f aca="false">INDEX(Assumptions!$B$50:$F$50,AR5)*Assumptions!$B$39/12</f>
        <v>17500</v>
      </c>
      <c r="AS46" s="8" t="n">
        <f aca="false">INDEX(Assumptions!$B$50:$F$50,AS5)*Assumptions!$B$39/12</f>
        <v>17500</v>
      </c>
      <c r="AT46" s="8" t="n">
        <f aca="false">INDEX(Assumptions!$B$50:$F$50,AT5)*Assumptions!$B$39/12</f>
        <v>17500</v>
      </c>
      <c r="AU46" s="8" t="n">
        <f aca="false">INDEX(Assumptions!$B$50:$F$50,AU5)*Assumptions!$B$39/12</f>
        <v>17500</v>
      </c>
      <c r="AV46" s="8" t="n">
        <f aca="false">INDEX(Assumptions!$B$50:$F$50,AV5)*Assumptions!$B$39/12</f>
        <v>17500</v>
      </c>
      <c r="AW46" s="8" t="n">
        <f aca="false">INDEX(Assumptions!$B$50:$F$50,AW5)*Assumptions!$B$39/12</f>
        <v>17500</v>
      </c>
      <c r="AX46" s="8" t="n">
        <f aca="false">INDEX(Assumptions!$B$50:$F$50,AX5)*Assumptions!$B$39/12</f>
        <v>17500</v>
      </c>
      <c r="AY46" s="8" t="n">
        <f aca="false">INDEX(Assumptions!$B$50:$F$50,AY5)*Assumptions!$B$39/12</f>
        <v>23333.3333333333</v>
      </c>
      <c r="AZ46" s="8" t="n">
        <f aca="false">INDEX(Assumptions!$B$50:$F$50,AZ5)*Assumptions!$B$39/12</f>
        <v>23333.3333333333</v>
      </c>
      <c r="BA46" s="8" t="n">
        <f aca="false">INDEX(Assumptions!$B$50:$F$50,BA5)*Assumptions!$B$39/12</f>
        <v>23333.3333333333</v>
      </c>
      <c r="BB46" s="8" t="n">
        <f aca="false">INDEX(Assumptions!$B$50:$F$50,BB5)*Assumptions!$B$39/12</f>
        <v>23333.3333333333</v>
      </c>
      <c r="BC46" s="8" t="n">
        <f aca="false">INDEX(Assumptions!$B$50:$F$50,BC5)*Assumptions!$B$39/12</f>
        <v>23333.3333333333</v>
      </c>
      <c r="BD46" s="8" t="n">
        <f aca="false">INDEX(Assumptions!$B$50:$F$50,BD5)*Assumptions!$B$39/12</f>
        <v>23333.3333333333</v>
      </c>
      <c r="BE46" s="8" t="n">
        <f aca="false">INDEX(Assumptions!$B$50:$F$50,BE5)*Assumptions!$B$39/12</f>
        <v>23333.3333333333</v>
      </c>
      <c r="BF46" s="8" t="n">
        <f aca="false">INDEX(Assumptions!$B$50:$F$50,BF5)*Assumptions!$B$39/12</f>
        <v>23333.3333333333</v>
      </c>
      <c r="BG46" s="8" t="n">
        <f aca="false">INDEX(Assumptions!$B$50:$F$50,BG5)*Assumptions!$B$39/12</f>
        <v>23333.3333333333</v>
      </c>
      <c r="BH46" s="8" t="n">
        <f aca="false">INDEX(Assumptions!$B$50:$F$50,BH5)*Assumptions!$B$39/12</f>
        <v>23333.3333333333</v>
      </c>
      <c r="BI46" s="8" t="n">
        <f aca="false">INDEX(Assumptions!$B$50:$F$50,BI5)*Assumptions!$B$39/12</f>
        <v>23333.3333333333</v>
      </c>
      <c r="BJ46" s="8" t="n">
        <f aca="false">INDEX(Assumptions!$B$50:$F$50,BJ5)*Assumptions!$B$39/12</f>
        <v>23333.3333333333</v>
      </c>
    </row>
    <row r="47" customFormat="false" ht="15" hidden="false" customHeight="false" outlineLevel="0" collapsed="false">
      <c r="A47" s="5" t="s">
        <v>133</v>
      </c>
      <c r="C47" s="8" t="n">
        <f aca="false">INDEX(Assumptions!$B$51:$F$51,C5)/12</f>
        <v>0</v>
      </c>
      <c r="D47" s="8" t="n">
        <f aca="false">INDEX(Assumptions!$B$51:$F$51,D5)/12</f>
        <v>0</v>
      </c>
      <c r="E47" s="8" t="n">
        <f aca="false">INDEX(Assumptions!$B$51:$F$51,E5)/12</f>
        <v>0</v>
      </c>
      <c r="F47" s="8" t="n">
        <f aca="false">INDEX(Assumptions!$B$51:$F$51,F5)/12</f>
        <v>0</v>
      </c>
      <c r="G47" s="8" t="n">
        <f aca="false">INDEX(Assumptions!$B$51:$F$51,G5)/12</f>
        <v>0</v>
      </c>
      <c r="H47" s="8" t="n">
        <f aca="false">INDEX(Assumptions!$B$51:$F$51,H5)/12</f>
        <v>0</v>
      </c>
      <c r="I47" s="8" t="n">
        <f aca="false">INDEX(Assumptions!$B$51:$F$51,I5)/12</f>
        <v>0</v>
      </c>
      <c r="J47" s="8" t="n">
        <f aca="false">INDEX(Assumptions!$B$51:$F$51,J5)/12</f>
        <v>0</v>
      </c>
      <c r="K47" s="8" t="n">
        <f aca="false">INDEX(Assumptions!$B$51:$F$51,K5)/12</f>
        <v>0</v>
      </c>
      <c r="L47" s="8" t="n">
        <f aca="false">INDEX(Assumptions!$B$51:$F$51,L5)/12</f>
        <v>0</v>
      </c>
      <c r="M47" s="8" t="n">
        <f aca="false">INDEX(Assumptions!$B$51:$F$51,M5)/12</f>
        <v>0</v>
      </c>
      <c r="N47" s="8" t="n">
        <f aca="false">INDEX(Assumptions!$B$51:$F$51,N5)/12</f>
        <v>0</v>
      </c>
      <c r="O47" s="8" t="n">
        <f aca="false">INDEX(Assumptions!$B$51:$F$51,O5)/12</f>
        <v>0</v>
      </c>
      <c r="P47" s="8" t="n">
        <f aca="false">INDEX(Assumptions!$B$51:$F$51,P5)/12</f>
        <v>0</v>
      </c>
      <c r="Q47" s="8" t="n">
        <f aca="false">INDEX(Assumptions!$B$51:$F$51,Q5)/12</f>
        <v>0</v>
      </c>
      <c r="R47" s="8" t="n">
        <f aca="false">INDEX(Assumptions!$B$51:$F$51,R5)/12</f>
        <v>0</v>
      </c>
      <c r="S47" s="8" t="n">
        <f aca="false">INDEX(Assumptions!$B$51:$F$51,S5)/12</f>
        <v>0</v>
      </c>
      <c r="T47" s="8" t="n">
        <f aca="false">INDEX(Assumptions!$B$51:$F$51,T5)/12</f>
        <v>0</v>
      </c>
      <c r="U47" s="8" t="n">
        <f aca="false">INDEX(Assumptions!$B$51:$F$51,U5)/12</f>
        <v>0</v>
      </c>
      <c r="V47" s="8" t="n">
        <f aca="false">INDEX(Assumptions!$B$51:$F$51,V5)/12</f>
        <v>0</v>
      </c>
      <c r="W47" s="8" t="n">
        <f aca="false">INDEX(Assumptions!$B$51:$F$51,W5)/12</f>
        <v>0</v>
      </c>
      <c r="X47" s="8" t="n">
        <f aca="false">INDEX(Assumptions!$B$51:$F$51,X5)/12</f>
        <v>0</v>
      </c>
      <c r="Y47" s="8" t="n">
        <f aca="false">INDEX(Assumptions!$B$51:$F$51,Y5)/12</f>
        <v>0</v>
      </c>
      <c r="Z47" s="8" t="n">
        <f aca="false">INDEX(Assumptions!$B$51:$F$51,Z5)/12</f>
        <v>0</v>
      </c>
      <c r="AA47" s="8" t="n">
        <f aca="false">INDEX(Assumptions!$B$51:$F$51,AA5)/12</f>
        <v>5000</v>
      </c>
      <c r="AB47" s="8" t="n">
        <f aca="false">INDEX(Assumptions!$B$51:$F$51,AB5)/12</f>
        <v>5000</v>
      </c>
      <c r="AC47" s="8" t="n">
        <f aca="false">INDEX(Assumptions!$B$51:$F$51,AC5)/12</f>
        <v>5000</v>
      </c>
      <c r="AD47" s="8" t="n">
        <f aca="false">INDEX(Assumptions!$B$51:$F$51,AD5)/12</f>
        <v>5000</v>
      </c>
      <c r="AE47" s="8" t="n">
        <f aca="false">INDEX(Assumptions!$B$51:$F$51,AE5)/12</f>
        <v>5000</v>
      </c>
      <c r="AF47" s="8" t="n">
        <f aca="false">INDEX(Assumptions!$B$51:$F$51,AF5)/12</f>
        <v>5000</v>
      </c>
      <c r="AG47" s="8" t="n">
        <f aca="false">INDEX(Assumptions!$B$51:$F$51,AG5)/12</f>
        <v>5000</v>
      </c>
      <c r="AH47" s="8" t="n">
        <f aca="false">INDEX(Assumptions!$B$51:$F$51,AH5)/12</f>
        <v>5000</v>
      </c>
      <c r="AI47" s="8" t="n">
        <f aca="false">INDEX(Assumptions!$B$51:$F$51,AI5)/12</f>
        <v>5000</v>
      </c>
      <c r="AJ47" s="8" t="n">
        <f aca="false">INDEX(Assumptions!$B$51:$F$51,AJ5)/12</f>
        <v>5000</v>
      </c>
      <c r="AK47" s="8" t="n">
        <f aca="false">INDEX(Assumptions!$B$51:$F$51,AK5)/12</f>
        <v>5000</v>
      </c>
      <c r="AL47" s="8" t="n">
        <f aca="false">INDEX(Assumptions!$B$51:$F$51,AL5)/12</f>
        <v>5000</v>
      </c>
      <c r="AM47" s="8" t="n">
        <f aca="false">INDEX(Assumptions!$B$51:$F$51,AM5)/12</f>
        <v>7500</v>
      </c>
      <c r="AN47" s="8" t="n">
        <f aca="false">INDEX(Assumptions!$B$51:$F$51,AN5)/12</f>
        <v>7500</v>
      </c>
      <c r="AO47" s="8" t="n">
        <f aca="false">INDEX(Assumptions!$B$51:$F$51,AO5)/12</f>
        <v>7500</v>
      </c>
      <c r="AP47" s="8" t="n">
        <f aca="false">INDEX(Assumptions!$B$51:$F$51,AP5)/12</f>
        <v>7500</v>
      </c>
      <c r="AQ47" s="8" t="n">
        <f aca="false">INDEX(Assumptions!$B$51:$F$51,AQ5)/12</f>
        <v>7500</v>
      </c>
      <c r="AR47" s="8" t="n">
        <f aca="false">INDEX(Assumptions!$B$51:$F$51,AR5)/12</f>
        <v>7500</v>
      </c>
      <c r="AS47" s="8" t="n">
        <f aca="false">INDEX(Assumptions!$B$51:$F$51,AS5)/12</f>
        <v>7500</v>
      </c>
      <c r="AT47" s="8" t="n">
        <f aca="false">INDEX(Assumptions!$B$51:$F$51,AT5)/12</f>
        <v>7500</v>
      </c>
      <c r="AU47" s="8" t="n">
        <f aca="false">INDEX(Assumptions!$B$51:$F$51,AU5)/12</f>
        <v>7500</v>
      </c>
      <c r="AV47" s="8" t="n">
        <f aca="false">INDEX(Assumptions!$B$51:$F$51,AV5)/12</f>
        <v>7500</v>
      </c>
      <c r="AW47" s="8" t="n">
        <f aca="false">INDEX(Assumptions!$B$51:$F$51,AW5)/12</f>
        <v>7500</v>
      </c>
      <c r="AX47" s="8" t="n">
        <f aca="false">INDEX(Assumptions!$B$51:$F$51,AX5)/12</f>
        <v>7500</v>
      </c>
      <c r="AY47" s="8" t="n">
        <f aca="false">INDEX(Assumptions!$B$51:$F$51,AY5)/12</f>
        <v>10000</v>
      </c>
      <c r="AZ47" s="8" t="n">
        <f aca="false">INDEX(Assumptions!$B$51:$F$51,AZ5)/12</f>
        <v>10000</v>
      </c>
      <c r="BA47" s="8" t="n">
        <f aca="false">INDEX(Assumptions!$B$51:$F$51,BA5)/12</f>
        <v>10000</v>
      </c>
      <c r="BB47" s="8" t="n">
        <f aca="false">INDEX(Assumptions!$B$51:$F$51,BB5)/12</f>
        <v>10000</v>
      </c>
      <c r="BC47" s="8" t="n">
        <f aca="false">INDEX(Assumptions!$B$51:$F$51,BC5)/12</f>
        <v>10000</v>
      </c>
      <c r="BD47" s="8" t="n">
        <f aca="false">INDEX(Assumptions!$B$51:$F$51,BD5)/12</f>
        <v>10000</v>
      </c>
      <c r="BE47" s="8" t="n">
        <f aca="false">INDEX(Assumptions!$B$51:$F$51,BE5)/12</f>
        <v>10000</v>
      </c>
      <c r="BF47" s="8" t="n">
        <f aca="false">INDEX(Assumptions!$B$51:$F$51,BF5)/12</f>
        <v>10000</v>
      </c>
      <c r="BG47" s="8" t="n">
        <f aca="false">INDEX(Assumptions!$B$51:$F$51,BG5)/12</f>
        <v>10000</v>
      </c>
      <c r="BH47" s="8" t="n">
        <f aca="false">INDEX(Assumptions!$B$51:$F$51,BH5)/12</f>
        <v>10000</v>
      </c>
      <c r="BI47" s="8" t="n">
        <f aca="false">INDEX(Assumptions!$B$51:$F$51,BI5)/12</f>
        <v>10000</v>
      </c>
      <c r="BJ47" s="8" t="n">
        <f aca="false">INDEX(Assumptions!$B$51:$F$51,BJ5)/12</f>
        <v>10000</v>
      </c>
    </row>
    <row r="48" customFormat="false" ht="15" hidden="false" customHeight="false" outlineLevel="0" collapsed="false">
      <c r="A48" s="5" t="s">
        <v>134</v>
      </c>
      <c r="C48" s="8" t="n">
        <f aca="false">C29*Assumptions!$E$27+Assumptions!$B$40</f>
        <v>2938.66177777778</v>
      </c>
      <c r="D48" s="8" t="n">
        <f aca="false">D29*Assumptions!$E$27+Assumptions!$B$40</f>
        <v>4377.32355555556</v>
      </c>
      <c r="E48" s="8" t="n">
        <f aca="false">E29*Assumptions!$E$27+Assumptions!$B$40</f>
        <v>5815.98533333333</v>
      </c>
      <c r="F48" s="8" t="n">
        <f aca="false">F29*Assumptions!$E$27+Assumptions!$B$40</f>
        <v>7254.64711111111</v>
      </c>
      <c r="G48" s="8" t="n">
        <f aca="false">G29*Assumptions!$E$27+Assumptions!$B$40</f>
        <v>8693.30888888889</v>
      </c>
      <c r="H48" s="8" t="n">
        <f aca="false">H29*Assumptions!$E$27+Assumptions!$B$40</f>
        <v>10131.9706666667</v>
      </c>
      <c r="I48" s="8" t="n">
        <f aca="false">I29*Assumptions!$E$27+Assumptions!$B$40</f>
        <v>12097.9657777778</v>
      </c>
      <c r="J48" s="8" t="n">
        <f aca="false">J29*Assumptions!$E$27+Assumptions!$B$40</f>
        <v>14063.9608888889</v>
      </c>
      <c r="K48" s="8" t="n">
        <f aca="false">K29*Assumptions!$E$27+Assumptions!$B$40</f>
        <v>16029.956</v>
      </c>
      <c r="L48" s="8" t="n">
        <f aca="false">L29*Assumptions!$E$27+Assumptions!$B$40</f>
        <v>16557.2893333333</v>
      </c>
      <c r="M48" s="8" t="n">
        <f aca="false">M29*Assumptions!$E$27+Assumptions!$B$40</f>
        <v>17084.6226666667</v>
      </c>
      <c r="N48" s="8" t="n">
        <f aca="false">N29*Assumptions!$E$27+Assumptions!$B$40</f>
        <v>17611.956</v>
      </c>
      <c r="O48" s="8" t="n">
        <f aca="false">O29*Assumptions!$E$27+Assumptions!$B$40</f>
        <v>18139.2893333333</v>
      </c>
      <c r="P48" s="8" t="n">
        <f aca="false">P29*Assumptions!$E$27+Assumptions!$B$40</f>
        <v>18666.6226666667</v>
      </c>
      <c r="Q48" s="8" t="n">
        <f aca="false">Q29*Assumptions!$E$27+Assumptions!$B$40</f>
        <v>19193.956</v>
      </c>
      <c r="R48" s="8" t="n">
        <f aca="false">R29*Assumptions!$E$27+Assumptions!$B$40</f>
        <v>19193.956</v>
      </c>
      <c r="S48" s="8" t="n">
        <f aca="false">S29*Assumptions!$E$27+Assumptions!$B$40</f>
        <v>19193.956</v>
      </c>
      <c r="T48" s="8" t="n">
        <f aca="false">T29*Assumptions!$E$27+Assumptions!$B$40</f>
        <v>19193.956</v>
      </c>
      <c r="U48" s="8" t="n">
        <f aca="false">U29*Assumptions!$E$27+Assumptions!$B$40</f>
        <v>19397.1181666667</v>
      </c>
      <c r="V48" s="8" t="n">
        <f aca="false">V29*Assumptions!$E$27+Assumptions!$B$40</f>
        <v>19600.2803333333</v>
      </c>
      <c r="W48" s="8" t="n">
        <f aca="false">W29*Assumptions!$E$27+Assumptions!$B$40</f>
        <v>19803.4425</v>
      </c>
      <c r="X48" s="8" t="n">
        <f aca="false">X29*Assumptions!$E$27+Assumptions!$B$40</f>
        <v>20006.6046666667</v>
      </c>
      <c r="Y48" s="8" t="n">
        <f aca="false">Y29*Assumptions!$E$27+Assumptions!$B$40</f>
        <v>20209.7668333333</v>
      </c>
      <c r="Z48" s="8" t="n">
        <f aca="false">Z29*Assumptions!$E$27+Assumptions!$B$40</f>
        <v>20412.929</v>
      </c>
      <c r="AA48" s="8" t="n">
        <f aca="false">AA29*Assumptions!$E$27+Assumptions!$B$40</f>
        <v>20616.0911666667</v>
      </c>
      <c r="AB48" s="8" t="n">
        <f aca="false">AB29*Assumptions!$E$27+Assumptions!$B$40</f>
        <v>20819.2533333333</v>
      </c>
      <c r="AC48" s="8" t="n">
        <f aca="false">AC29*Assumptions!$E$27+Assumptions!$B$40</f>
        <v>21022.4155</v>
      </c>
      <c r="AD48" s="8" t="n">
        <f aca="false">AD29*Assumptions!$E$27+Assumptions!$B$40</f>
        <v>21022.4155</v>
      </c>
      <c r="AE48" s="8" t="n">
        <f aca="false">AE29*Assumptions!$E$27+Assumptions!$B$40</f>
        <v>21022.4155</v>
      </c>
      <c r="AF48" s="8" t="n">
        <f aca="false">AF29*Assumptions!$E$27+Assumptions!$B$40</f>
        <v>21022.4155</v>
      </c>
      <c r="AG48" s="8" t="n">
        <f aca="false">AG29*Assumptions!$E$27+Assumptions!$B$40</f>
        <v>21022.4155</v>
      </c>
      <c r="AH48" s="8" t="n">
        <f aca="false">AH29*Assumptions!$E$27+Assumptions!$B$40</f>
        <v>21022.4155</v>
      </c>
      <c r="AI48" s="8" t="n">
        <f aca="false">AI29*Assumptions!$E$27+Assumptions!$B$40</f>
        <v>21022.4155</v>
      </c>
      <c r="AJ48" s="8" t="n">
        <f aca="false">AJ29*Assumptions!$E$27+Assumptions!$B$40</f>
        <v>21022.4155</v>
      </c>
      <c r="AK48" s="8" t="n">
        <f aca="false">AK29*Assumptions!$E$27+Assumptions!$B$40</f>
        <v>21022.4155</v>
      </c>
      <c r="AL48" s="8" t="n">
        <f aca="false">AL29*Assumptions!$E$27+Assumptions!$B$40</f>
        <v>21022.4155</v>
      </c>
      <c r="AM48" s="8" t="n">
        <f aca="false">AM29*Assumptions!$E$27+Assumptions!$B$40</f>
        <v>21022.4155</v>
      </c>
      <c r="AN48" s="8" t="n">
        <f aca="false">AN29*Assumptions!$E$27+Assumptions!$B$40</f>
        <v>21022.4155</v>
      </c>
      <c r="AO48" s="8" t="n">
        <f aca="false">AO29*Assumptions!$E$27+Assumptions!$B$40</f>
        <v>21022.4155</v>
      </c>
      <c r="AP48" s="8" t="n">
        <f aca="false">AP29*Assumptions!$E$27+Assumptions!$B$40</f>
        <v>21022.4155</v>
      </c>
      <c r="AQ48" s="8" t="n">
        <f aca="false">AQ29*Assumptions!$E$27+Assumptions!$B$40</f>
        <v>21022.4155</v>
      </c>
      <c r="AR48" s="8" t="n">
        <f aca="false">AR29*Assumptions!$E$27+Assumptions!$B$40</f>
        <v>21022.4155</v>
      </c>
      <c r="AS48" s="8" t="n">
        <f aca="false">AS29*Assumptions!$E$27+Assumptions!$B$40</f>
        <v>21022.4155</v>
      </c>
      <c r="AT48" s="8" t="n">
        <f aca="false">AT29*Assumptions!$E$27+Assumptions!$B$40</f>
        <v>21022.4155</v>
      </c>
      <c r="AU48" s="8" t="n">
        <f aca="false">AU29*Assumptions!$E$27+Assumptions!$B$40</f>
        <v>21022.4155</v>
      </c>
      <c r="AV48" s="8" t="n">
        <f aca="false">AV29*Assumptions!$E$27+Assumptions!$B$40</f>
        <v>21022.4155</v>
      </c>
      <c r="AW48" s="8" t="n">
        <f aca="false">AW29*Assumptions!$E$27+Assumptions!$B$40</f>
        <v>21022.4155</v>
      </c>
      <c r="AX48" s="8" t="n">
        <f aca="false">AX29*Assumptions!$E$27+Assumptions!$B$40</f>
        <v>21022.4155</v>
      </c>
      <c r="AY48" s="8" t="n">
        <f aca="false">AY29*Assumptions!$E$27+Assumptions!$B$40</f>
        <v>21022.4155</v>
      </c>
      <c r="AZ48" s="8" t="n">
        <f aca="false">AZ29*Assumptions!$E$27+Assumptions!$B$40</f>
        <v>21022.4155</v>
      </c>
      <c r="BA48" s="8" t="n">
        <f aca="false">BA29*Assumptions!$E$27+Assumptions!$B$40</f>
        <v>21022.4155</v>
      </c>
      <c r="BB48" s="8" t="n">
        <f aca="false">BB29*Assumptions!$E$27+Assumptions!$B$40</f>
        <v>21022.4155</v>
      </c>
      <c r="BC48" s="8" t="n">
        <f aca="false">BC29*Assumptions!$E$27+Assumptions!$B$40</f>
        <v>21022.4155</v>
      </c>
      <c r="BD48" s="8" t="n">
        <f aca="false">BD29*Assumptions!$E$27+Assumptions!$B$40</f>
        <v>21022.4155</v>
      </c>
      <c r="BE48" s="8" t="n">
        <f aca="false">BE29*Assumptions!$E$27+Assumptions!$B$40</f>
        <v>21022.4155</v>
      </c>
      <c r="BF48" s="8" t="n">
        <f aca="false">BF29*Assumptions!$E$27+Assumptions!$B$40</f>
        <v>21022.4155</v>
      </c>
      <c r="BG48" s="8" t="n">
        <f aca="false">BG29*Assumptions!$E$27+Assumptions!$B$40</f>
        <v>21022.4155</v>
      </c>
      <c r="BH48" s="8" t="n">
        <f aca="false">BH29*Assumptions!$E$27+Assumptions!$B$40</f>
        <v>21022.4155</v>
      </c>
      <c r="BI48" s="8" t="n">
        <f aca="false">BI29*Assumptions!$E$27+Assumptions!$B$40</f>
        <v>21022.4155</v>
      </c>
      <c r="BJ48" s="8" t="n">
        <f aca="false">BJ29*Assumptions!$E$27+Assumptions!$B$40</f>
        <v>21022.4155</v>
      </c>
    </row>
    <row r="49" customFormat="false" ht="15" hidden="false" customHeight="false" outlineLevel="0" collapsed="false">
      <c r="A49" s="5" t="s">
        <v>135</v>
      </c>
      <c r="C49" s="8" t="n">
        <f aca="false">Assumptions!$B$44+IF(C4=1,Assumptions!$B$41,0)+IF(C4=Assumptions!$B$43,Assumptions!$B$42,0)</f>
        <v>20750</v>
      </c>
      <c r="D49" s="8" t="n">
        <f aca="false">Assumptions!$B$44+IF(D4=1,Assumptions!$B$41,0)+IF(D4=Assumptions!$B$43,Assumptions!$B$42,0)</f>
        <v>750</v>
      </c>
      <c r="E49" s="8" t="n">
        <f aca="false">Assumptions!$B$44+IF(E4=1,Assumptions!$B$41,0)+IF(E4=Assumptions!$B$43,Assumptions!$B$42,0)</f>
        <v>750</v>
      </c>
      <c r="F49" s="8" t="n">
        <f aca="false">Assumptions!$B$44+IF(F4=1,Assumptions!$B$41,0)+IF(F4=Assumptions!$B$43,Assumptions!$B$42,0)</f>
        <v>750</v>
      </c>
      <c r="G49" s="8" t="n">
        <f aca="false">Assumptions!$B$44+IF(G4=1,Assumptions!$B$41,0)+IF(G4=Assumptions!$B$43,Assumptions!$B$42,0)</f>
        <v>750</v>
      </c>
      <c r="H49" s="8" t="n">
        <f aca="false">Assumptions!$B$44+IF(H4=1,Assumptions!$B$41,0)+IF(H4=Assumptions!$B$43,Assumptions!$B$42,0)</f>
        <v>750</v>
      </c>
      <c r="I49" s="8" t="n">
        <f aca="false">Assumptions!$B$44+IF(I4=1,Assumptions!$B$41,0)+IF(I4=Assumptions!$B$43,Assumptions!$B$42,0)</f>
        <v>750</v>
      </c>
      <c r="J49" s="8" t="n">
        <f aca="false">Assumptions!$B$44+IF(J4=1,Assumptions!$B$41,0)+IF(J4=Assumptions!$B$43,Assumptions!$B$42,0)</f>
        <v>750</v>
      </c>
      <c r="K49" s="8" t="n">
        <f aca="false">Assumptions!$B$44+IF(K4=1,Assumptions!$B$41,0)+IF(K4=Assumptions!$B$43,Assumptions!$B$42,0)</f>
        <v>750</v>
      </c>
      <c r="L49" s="8" t="n">
        <f aca="false">Assumptions!$B$44+IF(L4=1,Assumptions!$B$41,0)+IF(L4=Assumptions!$B$43,Assumptions!$B$42,0)</f>
        <v>750</v>
      </c>
      <c r="M49" s="8" t="n">
        <f aca="false">Assumptions!$B$44+IF(M4=1,Assumptions!$B$41,0)+IF(M4=Assumptions!$B$43,Assumptions!$B$42,0)</f>
        <v>750</v>
      </c>
      <c r="N49" s="8" t="n">
        <f aca="false">Assumptions!$B$44+IF(N4=1,Assumptions!$B$41,0)+IF(N4=Assumptions!$B$43,Assumptions!$B$42,0)</f>
        <v>750</v>
      </c>
      <c r="O49" s="8" t="n">
        <f aca="false">Assumptions!$B$44+IF(O4=1,Assumptions!$B$41,0)+IF(O4=Assumptions!$B$43,Assumptions!$B$42,0)</f>
        <v>750</v>
      </c>
      <c r="P49" s="8" t="n">
        <f aca="false">Assumptions!$B$44+IF(P4=1,Assumptions!$B$41,0)+IF(P4=Assumptions!$B$43,Assumptions!$B$42,0)</f>
        <v>750</v>
      </c>
      <c r="Q49" s="8" t="n">
        <f aca="false">Assumptions!$B$44+IF(Q4=1,Assumptions!$B$41,0)+IF(Q4=Assumptions!$B$43,Assumptions!$B$42,0)</f>
        <v>750</v>
      </c>
      <c r="R49" s="8" t="n">
        <f aca="false">Assumptions!$B$44+IF(R4=1,Assumptions!$B$41,0)+IF(R4=Assumptions!$B$43,Assumptions!$B$42,0)</f>
        <v>750</v>
      </c>
      <c r="S49" s="8" t="n">
        <f aca="false">Assumptions!$B$44+IF(S4=1,Assumptions!$B$41,0)+IF(S4=Assumptions!$B$43,Assumptions!$B$42,0)</f>
        <v>750</v>
      </c>
      <c r="T49" s="8" t="n">
        <f aca="false">Assumptions!$B$44+IF(T4=1,Assumptions!$B$41,0)+IF(T4=Assumptions!$B$43,Assumptions!$B$42,0)</f>
        <v>750</v>
      </c>
      <c r="U49" s="8" t="n">
        <f aca="false">Assumptions!$B$44+IF(U4=1,Assumptions!$B$41,0)+IF(U4=Assumptions!$B$43,Assumptions!$B$42,0)</f>
        <v>750</v>
      </c>
      <c r="V49" s="8" t="n">
        <f aca="false">Assumptions!$B$44+IF(V4=1,Assumptions!$B$41,0)+IF(V4=Assumptions!$B$43,Assumptions!$B$42,0)</f>
        <v>750</v>
      </c>
      <c r="W49" s="8" t="n">
        <f aca="false">Assumptions!$B$44+IF(W4=1,Assumptions!$B$41,0)+IF(W4=Assumptions!$B$43,Assumptions!$B$42,0)</f>
        <v>750</v>
      </c>
      <c r="X49" s="8" t="n">
        <f aca="false">Assumptions!$B$44+IF(X4=1,Assumptions!$B$41,0)+IF(X4=Assumptions!$B$43,Assumptions!$B$42,0)</f>
        <v>750</v>
      </c>
      <c r="Y49" s="8" t="n">
        <f aca="false">Assumptions!$B$44+IF(Y4=1,Assumptions!$B$41,0)+IF(Y4=Assumptions!$B$43,Assumptions!$B$42,0)</f>
        <v>750</v>
      </c>
      <c r="Z49" s="8" t="n">
        <f aca="false">Assumptions!$B$44+IF(Z4=1,Assumptions!$B$41,0)+IF(Z4=Assumptions!$B$43,Assumptions!$B$42,0)</f>
        <v>750</v>
      </c>
      <c r="AA49" s="8" t="n">
        <f aca="false">Assumptions!$B$44+IF(AA4=1,Assumptions!$B$41,0)+IF(AA4=Assumptions!$B$43,Assumptions!$B$42,0)</f>
        <v>30750</v>
      </c>
      <c r="AB49" s="8" t="n">
        <f aca="false">Assumptions!$B$44+IF(AB4=1,Assumptions!$B$41,0)+IF(AB4=Assumptions!$B$43,Assumptions!$B$42,0)</f>
        <v>750</v>
      </c>
      <c r="AC49" s="8" t="n">
        <f aca="false">Assumptions!$B$44+IF(AC4=1,Assumptions!$B$41,0)+IF(AC4=Assumptions!$B$43,Assumptions!$B$42,0)</f>
        <v>750</v>
      </c>
      <c r="AD49" s="8" t="n">
        <f aca="false">Assumptions!$B$44+IF(AD4=1,Assumptions!$B$41,0)+IF(AD4=Assumptions!$B$43,Assumptions!$B$42,0)</f>
        <v>750</v>
      </c>
      <c r="AE49" s="8" t="n">
        <f aca="false">Assumptions!$B$44+IF(AE4=1,Assumptions!$B$41,0)+IF(AE4=Assumptions!$B$43,Assumptions!$B$42,0)</f>
        <v>750</v>
      </c>
      <c r="AF49" s="8" t="n">
        <f aca="false">Assumptions!$B$44+IF(AF4=1,Assumptions!$B$41,0)+IF(AF4=Assumptions!$B$43,Assumptions!$B$42,0)</f>
        <v>750</v>
      </c>
      <c r="AG49" s="8" t="n">
        <f aca="false">Assumptions!$B$44+IF(AG4=1,Assumptions!$B$41,0)+IF(AG4=Assumptions!$B$43,Assumptions!$B$42,0)</f>
        <v>750</v>
      </c>
      <c r="AH49" s="8" t="n">
        <f aca="false">Assumptions!$B$44+IF(AH4=1,Assumptions!$B$41,0)+IF(AH4=Assumptions!$B$43,Assumptions!$B$42,0)</f>
        <v>750</v>
      </c>
      <c r="AI49" s="8" t="n">
        <f aca="false">Assumptions!$B$44+IF(AI4=1,Assumptions!$B$41,0)+IF(AI4=Assumptions!$B$43,Assumptions!$B$42,0)</f>
        <v>750</v>
      </c>
      <c r="AJ49" s="8" t="n">
        <f aca="false">Assumptions!$B$44+IF(AJ4=1,Assumptions!$B$41,0)+IF(AJ4=Assumptions!$B$43,Assumptions!$B$42,0)</f>
        <v>750</v>
      </c>
      <c r="AK49" s="8" t="n">
        <f aca="false">Assumptions!$B$44+IF(AK4=1,Assumptions!$B$41,0)+IF(AK4=Assumptions!$B$43,Assumptions!$B$42,0)</f>
        <v>750</v>
      </c>
      <c r="AL49" s="8" t="n">
        <f aca="false">Assumptions!$B$44+IF(AL4=1,Assumptions!$B$41,0)+IF(AL4=Assumptions!$B$43,Assumptions!$B$42,0)</f>
        <v>750</v>
      </c>
      <c r="AM49" s="8" t="n">
        <f aca="false">Assumptions!$B$44+IF(AM4=1,Assumptions!$B$41,0)+IF(AM4=Assumptions!$B$43,Assumptions!$B$42,0)</f>
        <v>750</v>
      </c>
      <c r="AN49" s="8" t="n">
        <f aca="false">Assumptions!$B$44+IF(AN4=1,Assumptions!$B$41,0)+IF(AN4=Assumptions!$B$43,Assumptions!$B$42,0)</f>
        <v>750</v>
      </c>
      <c r="AO49" s="8" t="n">
        <f aca="false">Assumptions!$B$44+IF(AO4=1,Assumptions!$B$41,0)+IF(AO4=Assumptions!$B$43,Assumptions!$B$42,0)</f>
        <v>750</v>
      </c>
      <c r="AP49" s="8" t="n">
        <f aca="false">Assumptions!$B$44+IF(AP4=1,Assumptions!$B$41,0)+IF(AP4=Assumptions!$B$43,Assumptions!$B$42,0)</f>
        <v>750</v>
      </c>
      <c r="AQ49" s="8" t="n">
        <f aca="false">Assumptions!$B$44+IF(AQ4=1,Assumptions!$B$41,0)+IF(AQ4=Assumptions!$B$43,Assumptions!$B$42,0)</f>
        <v>750</v>
      </c>
      <c r="AR49" s="8" t="n">
        <f aca="false">Assumptions!$B$44+IF(AR4=1,Assumptions!$B$41,0)+IF(AR4=Assumptions!$B$43,Assumptions!$B$42,0)</f>
        <v>750</v>
      </c>
      <c r="AS49" s="8" t="n">
        <f aca="false">Assumptions!$B$44+IF(AS4=1,Assumptions!$B$41,0)+IF(AS4=Assumptions!$B$43,Assumptions!$B$42,0)</f>
        <v>750</v>
      </c>
      <c r="AT49" s="8" t="n">
        <f aca="false">Assumptions!$B$44+IF(AT4=1,Assumptions!$B$41,0)+IF(AT4=Assumptions!$B$43,Assumptions!$B$42,0)</f>
        <v>750</v>
      </c>
      <c r="AU49" s="8" t="n">
        <f aca="false">Assumptions!$B$44+IF(AU4=1,Assumptions!$B$41,0)+IF(AU4=Assumptions!$B$43,Assumptions!$B$42,0)</f>
        <v>750</v>
      </c>
      <c r="AV49" s="8" t="n">
        <f aca="false">Assumptions!$B$44+IF(AV4=1,Assumptions!$B$41,0)+IF(AV4=Assumptions!$B$43,Assumptions!$B$42,0)</f>
        <v>750</v>
      </c>
      <c r="AW49" s="8" t="n">
        <f aca="false">Assumptions!$B$44+IF(AW4=1,Assumptions!$B$41,0)+IF(AW4=Assumptions!$B$43,Assumptions!$B$42,0)</f>
        <v>750</v>
      </c>
      <c r="AX49" s="8" t="n">
        <f aca="false">Assumptions!$B$44+IF(AX4=1,Assumptions!$B$41,0)+IF(AX4=Assumptions!$B$43,Assumptions!$B$42,0)</f>
        <v>750</v>
      </c>
      <c r="AY49" s="8" t="n">
        <f aca="false">Assumptions!$B$44+IF(AY4=1,Assumptions!$B$41,0)+IF(AY4=Assumptions!$B$43,Assumptions!$B$42,0)</f>
        <v>750</v>
      </c>
      <c r="AZ49" s="8" t="n">
        <f aca="false">Assumptions!$B$44+IF(AZ4=1,Assumptions!$B$41,0)+IF(AZ4=Assumptions!$B$43,Assumptions!$B$42,0)</f>
        <v>750</v>
      </c>
      <c r="BA49" s="8" t="n">
        <f aca="false">Assumptions!$B$44+IF(BA4=1,Assumptions!$B$41,0)+IF(BA4=Assumptions!$B$43,Assumptions!$B$42,0)</f>
        <v>750</v>
      </c>
      <c r="BB49" s="8" t="n">
        <f aca="false">Assumptions!$B$44+IF(BB4=1,Assumptions!$B$41,0)+IF(BB4=Assumptions!$B$43,Assumptions!$B$42,0)</f>
        <v>750</v>
      </c>
      <c r="BC49" s="8" t="n">
        <f aca="false">Assumptions!$B$44+IF(BC4=1,Assumptions!$B$41,0)+IF(BC4=Assumptions!$B$43,Assumptions!$B$42,0)</f>
        <v>750</v>
      </c>
      <c r="BD49" s="8" t="n">
        <f aca="false">Assumptions!$B$44+IF(BD4=1,Assumptions!$B$41,0)+IF(BD4=Assumptions!$B$43,Assumptions!$B$42,0)</f>
        <v>750</v>
      </c>
      <c r="BE49" s="8" t="n">
        <f aca="false">Assumptions!$B$44+IF(BE4=1,Assumptions!$B$41,0)+IF(BE4=Assumptions!$B$43,Assumptions!$B$42,0)</f>
        <v>750</v>
      </c>
      <c r="BF49" s="8" t="n">
        <f aca="false">Assumptions!$B$44+IF(BF4=1,Assumptions!$B$41,0)+IF(BF4=Assumptions!$B$43,Assumptions!$B$42,0)</f>
        <v>750</v>
      </c>
      <c r="BG49" s="8" t="n">
        <f aca="false">Assumptions!$B$44+IF(BG4=1,Assumptions!$B$41,0)+IF(BG4=Assumptions!$B$43,Assumptions!$B$42,0)</f>
        <v>750</v>
      </c>
      <c r="BH49" s="8" t="n">
        <f aca="false">Assumptions!$B$44+IF(BH4=1,Assumptions!$B$41,0)+IF(BH4=Assumptions!$B$43,Assumptions!$B$42,0)</f>
        <v>750</v>
      </c>
      <c r="BI49" s="8" t="n">
        <f aca="false">Assumptions!$B$44+IF(BI4=1,Assumptions!$B$41,0)+IF(BI4=Assumptions!$B$43,Assumptions!$B$42,0)</f>
        <v>750</v>
      </c>
      <c r="BJ49" s="8" t="n">
        <f aca="false">Assumptions!$B$44+IF(BJ4=1,Assumptions!$B$41,0)+IF(BJ4=Assumptions!$B$43,Assumptions!$B$42,0)</f>
        <v>750</v>
      </c>
    </row>
    <row r="50" customFormat="false" ht="15" hidden="false" customHeight="false" outlineLevel="0" collapsed="false">
      <c r="A50" s="5" t="s">
        <v>136</v>
      </c>
      <c r="C50" s="7" t="n">
        <f aca="false">Assumptions!$B$45</f>
        <v>450</v>
      </c>
      <c r="D50" s="7" t="n">
        <f aca="false">Assumptions!$B$45</f>
        <v>450</v>
      </c>
      <c r="E50" s="7" t="n">
        <f aca="false">Assumptions!$B$45</f>
        <v>450</v>
      </c>
      <c r="F50" s="7" t="n">
        <f aca="false">Assumptions!$B$45</f>
        <v>450</v>
      </c>
      <c r="G50" s="7" t="n">
        <f aca="false">Assumptions!$B$45</f>
        <v>450</v>
      </c>
      <c r="H50" s="7" t="n">
        <f aca="false">Assumptions!$B$45</f>
        <v>450</v>
      </c>
      <c r="I50" s="7" t="n">
        <f aca="false">Assumptions!$B$45</f>
        <v>450</v>
      </c>
      <c r="J50" s="7" t="n">
        <f aca="false">Assumptions!$B$45</f>
        <v>450</v>
      </c>
      <c r="K50" s="7" t="n">
        <f aca="false">Assumptions!$B$45</f>
        <v>450</v>
      </c>
      <c r="L50" s="7" t="n">
        <f aca="false">Assumptions!$B$45</f>
        <v>450</v>
      </c>
      <c r="M50" s="7" t="n">
        <f aca="false">Assumptions!$B$45</f>
        <v>450</v>
      </c>
      <c r="N50" s="7" t="n">
        <f aca="false">Assumptions!$B$45</f>
        <v>450</v>
      </c>
      <c r="O50" s="7" t="n">
        <f aca="false">Assumptions!$B$45</f>
        <v>450</v>
      </c>
      <c r="P50" s="7" t="n">
        <f aca="false">Assumptions!$B$45</f>
        <v>450</v>
      </c>
      <c r="Q50" s="7" t="n">
        <f aca="false">Assumptions!$B$45</f>
        <v>450</v>
      </c>
      <c r="R50" s="7" t="n">
        <f aca="false">Assumptions!$B$45</f>
        <v>450</v>
      </c>
      <c r="S50" s="7" t="n">
        <f aca="false">Assumptions!$B$45</f>
        <v>450</v>
      </c>
      <c r="T50" s="7" t="n">
        <f aca="false">Assumptions!$B$45</f>
        <v>450</v>
      </c>
      <c r="U50" s="7" t="n">
        <f aca="false">Assumptions!$B$45</f>
        <v>450</v>
      </c>
      <c r="V50" s="7" t="n">
        <f aca="false">Assumptions!$B$45</f>
        <v>450</v>
      </c>
      <c r="W50" s="7" t="n">
        <f aca="false">Assumptions!$B$45</f>
        <v>450</v>
      </c>
      <c r="X50" s="7" t="n">
        <f aca="false">Assumptions!$B$45</f>
        <v>450</v>
      </c>
      <c r="Y50" s="7" t="n">
        <f aca="false">Assumptions!$B$45</f>
        <v>450</v>
      </c>
      <c r="Z50" s="7" t="n">
        <f aca="false">Assumptions!$B$45</f>
        <v>450</v>
      </c>
      <c r="AA50" s="7" t="n">
        <f aca="false">Assumptions!$B$45</f>
        <v>450</v>
      </c>
      <c r="AB50" s="7" t="n">
        <f aca="false">Assumptions!$B$45</f>
        <v>450</v>
      </c>
      <c r="AC50" s="7" t="n">
        <f aca="false">Assumptions!$B$45</f>
        <v>450</v>
      </c>
      <c r="AD50" s="7" t="n">
        <f aca="false">Assumptions!$B$45</f>
        <v>450</v>
      </c>
      <c r="AE50" s="7" t="n">
        <f aca="false">Assumptions!$B$45</f>
        <v>450</v>
      </c>
      <c r="AF50" s="7" t="n">
        <f aca="false">Assumptions!$B$45</f>
        <v>450</v>
      </c>
      <c r="AG50" s="7" t="n">
        <f aca="false">Assumptions!$B$45</f>
        <v>450</v>
      </c>
      <c r="AH50" s="7" t="n">
        <f aca="false">Assumptions!$B$45</f>
        <v>450</v>
      </c>
      <c r="AI50" s="7" t="n">
        <f aca="false">Assumptions!$B$45</f>
        <v>450</v>
      </c>
      <c r="AJ50" s="7" t="n">
        <f aca="false">Assumptions!$B$45</f>
        <v>450</v>
      </c>
      <c r="AK50" s="7" t="n">
        <f aca="false">Assumptions!$B$45</f>
        <v>450</v>
      </c>
      <c r="AL50" s="7" t="n">
        <f aca="false">Assumptions!$B$45</f>
        <v>450</v>
      </c>
      <c r="AM50" s="7" t="n">
        <f aca="false">Assumptions!$B$45</f>
        <v>450</v>
      </c>
      <c r="AN50" s="7" t="n">
        <f aca="false">Assumptions!$B$45</f>
        <v>450</v>
      </c>
      <c r="AO50" s="7" t="n">
        <f aca="false">Assumptions!$B$45</f>
        <v>450</v>
      </c>
      <c r="AP50" s="7" t="n">
        <f aca="false">Assumptions!$B$45</f>
        <v>450</v>
      </c>
      <c r="AQ50" s="7" t="n">
        <f aca="false">Assumptions!$B$45</f>
        <v>450</v>
      </c>
      <c r="AR50" s="7" t="n">
        <f aca="false">Assumptions!$B$45</f>
        <v>450</v>
      </c>
      <c r="AS50" s="7" t="n">
        <f aca="false">Assumptions!$B$45</f>
        <v>450</v>
      </c>
      <c r="AT50" s="7" t="n">
        <f aca="false">Assumptions!$B$45</f>
        <v>450</v>
      </c>
      <c r="AU50" s="7" t="n">
        <f aca="false">Assumptions!$B$45</f>
        <v>450</v>
      </c>
      <c r="AV50" s="7" t="n">
        <f aca="false">Assumptions!$B$45</f>
        <v>450</v>
      </c>
      <c r="AW50" s="7" t="n">
        <f aca="false">Assumptions!$B$45</f>
        <v>450</v>
      </c>
      <c r="AX50" s="7" t="n">
        <f aca="false">Assumptions!$B$45</f>
        <v>450</v>
      </c>
      <c r="AY50" s="7" t="n">
        <f aca="false">Assumptions!$B$45</f>
        <v>450</v>
      </c>
      <c r="AZ50" s="7" t="n">
        <f aca="false">Assumptions!$B$45</f>
        <v>450</v>
      </c>
      <c r="BA50" s="7" t="n">
        <f aca="false">Assumptions!$B$45</f>
        <v>450</v>
      </c>
      <c r="BB50" s="7" t="n">
        <f aca="false">Assumptions!$B$45</f>
        <v>450</v>
      </c>
      <c r="BC50" s="7" t="n">
        <f aca="false">Assumptions!$B$45</f>
        <v>450</v>
      </c>
      <c r="BD50" s="7" t="n">
        <f aca="false">Assumptions!$B$45</f>
        <v>450</v>
      </c>
      <c r="BE50" s="7" t="n">
        <f aca="false">Assumptions!$B$45</f>
        <v>450</v>
      </c>
      <c r="BF50" s="7" t="n">
        <f aca="false">Assumptions!$B$45</f>
        <v>450</v>
      </c>
      <c r="BG50" s="7" t="n">
        <f aca="false">Assumptions!$B$45</f>
        <v>450</v>
      </c>
      <c r="BH50" s="7" t="n">
        <f aca="false">Assumptions!$B$45</f>
        <v>450</v>
      </c>
      <c r="BI50" s="7" t="n">
        <f aca="false">Assumptions!$B$45</f>
        <v>450</v>
      </c>
      <c r="BJ50" s="7" t="n">
        <f aca="false">Assumptions!$B$45</f>
        <v>450</v>
      </c>
    </row>
    <row r="51" customFormat="false" ht="15" hidden="false" customHeight="false" outlineLevel="0" collapsed="false">
      <c r="A51" s="5" t="s">
        <v>137</v>
      </c>
      <c r="C51" s="7" t="n">
        <f aca="false">Assumptions!$B$46</f>
        <v>600</v>
      </c>
      <c r="D51" s="7" t="n">
        <f aca="false">Assumptions!$B$46</f>
        <v>600</v>
      </c>
      <c r="E51" s="7" t="n">
        <f aca="false">Assumptions!$B$46</f>
        <v>600</v>
      </c>
      <c r="F51" s="7" t="n">
        <f aca="false">Assumptions!$B$46</f>
        <v>600</v>
      </c>
      <c r="G51" s="7" t="n">
        <f aca="false">Assumptions!$B$46</f>
        <v>600</v>
      </c>
      <c r="H51" s="7" t="n">
        <f aca="false">Assumptions!$B$46</f>
        <v>600</v>
      </c>
      <c r="I51" s="7" t="n">
        <f aca="false">Assumptions!$B$46</f>
        <v>600</v>
      </c>
      <c r="J51" s="7" t="n">
        <f aca="false">Assumptions!$B$46</f>
        <v>600</v>
      </c>
      <c r="K51" s="7" t="n">
        <f aca="false">Assumptions!$B$46</f>
        <v>600</v>
      </c>
      <c r="L51" s="7" t="n">
        <f aca="false">Assumptions!$B$46</f>
        <v>600</v>
      </c>
      <c r="M51" s="7" t="n">
        <f aca="false">Assumptions!$B$46</f>
        <v>600</v>
      </c>
      <c r="N51" s="7" t="n">
        <f aca="false">Assumptions!$B$46</f>
        <v>600</v>
      </c>
      <c r="O51" s="7" t="n">
        <f aca="false">Assumptions!$B$46</f>
        <v>600</v>
      </c>
      <c r="P51" s="7" t="n">
        <f aca="false">Assumptions!$B$46</f>
        <v>600</v>
      </c>
      <c r="Q51" s="7" t="n">
        <f aca="false">Assumptions!$B$46</f>
        <v>600</v>
      </c>
      <c r="R51" s="7" t="n">
        <f aca="false">Assumptions!$B$46</f>
        <v>600</v>
      </c>
      <c r="S51" s="7" t="n">
        <f aca="false">Assumptions!$B$46</f>
        <v>600</v>
      </c>
      <c r="T51" s="7" t="n">
        <f aca="false">Assumptions!$B$46</f>
        <v>600</v>
      </c>
      <c r="U51" s="7" t="n">
        <f aca="false">Assumptions!$B$46</f>
        <v>600</v>
      </c>
      <c r="V51" s="7" t="n">
        <f aca="false">Assumptions!$B$46</f>
        <v>600</v>
      </c>
      <c r="W51" s="7" t="n">
        <f aca="false">Assumptions!$B$46</f>
        <v>600</v>
      </c>
      <c r="X51" s="7" t="n">
        <f aca="false">Assumptions!$B$46</f>
        <v>600</v>
      </c>
      <c r="Y51" s="7" t="n">
        <f aca="false">Assumptions!$B$46</f>
        <v>600</v>
      </c>
      <c r="Z51" s="7" t="n">
        <f aca="false">Assumptions!$B$46</f>
        <v>600</v>
      </c>
      <c r="AA51" s="7" t="n">
        <f aca="false">Assumptions!$B$46</f>
        <v>600</v>
      </c>
      <c r="AB51" s="7" t="n">
        <f aca="false">Assumptions!$B$46</f>
        <v>600</v>
      </c>
      <c r="AC51" s="7" t="n">
        <f aca="false">Assumptions!$B$46</f>
        <v>600</v>
      </c>
      <c r="AD51" s="7" t="n">
        <f aca="false">Assumptions!$B$46</f>
        <v>600</v>
      </c>
      <c r="AE51" s="7" t="n">
        <f aca="false">Assumptions!$B$46</f>
        <v>600</v>
      </c>
      <c r="AF51" s="7" t="n">
        <f aca="false">Assumptions!$B$46</f>
        <v>600</v>
      </c>
      <c r="AG51" s="7" t="n">
        <f aca="false">Assumptions!$B$46</f>
        <v>600</v>
      </c>
      <c r="AH51" s="7" t="n">
        <f aca="false">Assumptions!$B$46</f>
        <v>600</v>
      </c>
      <c r="AI51" s="7" t="n">
        <f aca="false">Assumptions!$B$46</f>
        <v>600</v>
      </c>
      <c r="AJ51" s="7" t="n">
        <f aca="false">Assumptions!$B$46</f>
        <v>600</v>
      </c>
      <c r="AK51" s="7" t="n">
        <f aca="false">Assumptions!$B$46</f>
        <v>600</v>
      </c>
      <c r="AL51" s="7" t="n">
        <f aca="false">Assumptions!$B$46</f>
        <v>600</v>
      </c>
      <c r="AM51" s="7" t="n">
        <f aca="false">Assumptions!$B$46</f>
        <v>600</v>
      </c>
      <c r="AN51" s="7" t="n">
        <f aca="false">Assumptions!$B$46</f>
        <v>600</v>
      </c>
      <c r="AO51" s="7" t="n">
        <f aca="false">Assumptions!$B$46</f>
        <v>600</v>
      </c>
      <c r="AP51" s="7" t="n">
        <f aca="false">Assumptions!$B$46</f>
        <v>600</v>
      </c>
      <c r="AQ51" s="7" t="n">
        <f aca="false">Assumptions!$B$46</f>
        <v>600</v>
      </c>
      <c r="AR51" s="7" t="n">
        <f aca="false">Assumptions!$B$46</f>
        <v>600</v>
      </c>
      <c r="AS51" s="7" t="n">
        <f aca="false">Assumptions!$B$46</f>
        <v>600</v>
      </c>
      <c r="AT51" s="7" t="n">
        <f aca="false">Assumptions!$B$46</f>
        <v>600</v>
      </c>
      <c r="AU51" s="7" t="n">
        <f aca="false">Assumptions!$B$46</f>
        <v>600</v>
      </c>
      <c r="AV51" s="7" t="n">
        <f aca="false">Assumptions!$B$46</f>
        <v>600</v>
      </c>
      <c r="AW51" s="7" t="n">
        <f aca="false">Assumptions!$B$46</f>
        <v>600</v>
      </c>
      <c r="AX51" s="7" t="n">
        <f aca="false">Assumptions!$B$46</f>
        <v>600</v>
      </c>
      <c r="AY51" s="7" t="n">
        <f aca="false">Assumptions!$B$46</f>
        <v>600</v>
      </c>
      <c r="AZ51" s="7" t="n">
        <f aca="false">Assumptions!$B$46</f>
        <v>600</v>
      </c>
      <c r="BA51" s="7" t="n">
        <f aca="false">Assumptions!$B$46</f>
        <v>600</v>
      </c>
      <c r="BB51" s="7" t="n">
        <f aca="false">Assumptions!$B$46</f>
        <v>600</v>
      </c>
      <c r="BC51" s="7" t="n">
        <f aca="false">Assumptions!$B$46</f>
        <v>600</v>
      </c>
      <c r="BD51" s="7" t="n">
        <f aca="false">Assumptions!$B$46</f>
        <v>600</v>
      </c>
      <c r="BE51" s="7" t="n">
        <f aca="false">Assumptions!$B$46</f>
        <v>600</v>
      </c>
      <c r="BF51" s="7" t="n">
        <f aca="false">Assumptions!$B$46</f>
        <v>600</v>
      </c>
      <c r="BG51" s="7" t="n">
        <f aca="false">Assumptions!$B$46</f>
        <v>600</v>
      </c>
      <c r="BH51" s="7" t="n">
        <f aca="false">Assumptions!$B$46</f>
        <v>600</v>
      </c>
      <c r="BI51" s="7" t="n">
        <f aca="false">Assumptions!$B$46</f>
        <v>600</v>
      </c>
      <c r="BJ51" s="7" t="n">
        <f aca="false">Assumptions!$B$46</f>
        <v>600</v>
      </c>
    </row>
    <row r="52" customFormat="false" ht="15" hidden="false" customHeight="false" outlineLevel="0" collapsed="false">
      <c r="A52" s="10" t="s">
        <v>138</v>
      </c>
      <c r="C52" s="11" t="n">
        <f aca="false">SUM(C46:C51)</f>
        <v>27655.3284444444</v>
      </c>
      <c r="D52" s="11" t="n">
        <f aca="false">SUM(D46:D51)</f>
        <v>9093.99022222222</v>
      </c>
      <c r="E52" s="11" t="n">
        <f aca="false">SUM(E46:E51)</f>
        <v>10532.652</v>
      </c>
      <c r="F52" s="11" t="n">
        <f aca="false">SUM(F46:F51)</f>
        <v>11971.3137777778</v>
      </c>
      <c r="G52" s="11" t="n">
        <f aca="false">SUM(G46:G51)</f>
        <v>13409.9755555556</v>
      </c>
      <c r="H52" s="11" t="n">
        <f aca="false">SUM(H46:H51)</f>
        <v>14848.6373333333</v>
      </c>
      <c r="I52" s="11" t="n">
        <f aca="false">SUM(I46:I51)</f>
        <v>16814.6324444444</v>
      </c>
      <c r="J52" s="11" t="n">
        <f aca="false">SUM(J46:J51)</f>
        <v>18780.6275555556</v>
      </c>
      <c r="K52" s="11" t="n">
        <f aca="false">SUM(K46:K51)</f>
        <v>20746.6226666667</v>
      </c>
      <c r="L52" s="11" t="n">
        <f aca="false">SUM(L46:L51)</f>
        <v>21273.956</v>
      </c>
      <c r="M52" s="11" t="n">
        <f aca="false">SUM(M46:M51)</f>
        <v>21801.2893333333</v>
      </c>
      <c r="N52" s="11" t="n">
        <f aca="false">SUM(N46:N51)</f>
        <v>22328.6226666667</v>
      </c>
      <c r="O52" s="11" t="n">
        <f aca="false">SUM(O46:O51)</f>
        <v>25772.6226666667</v>
      </c>
      <c r="P52" s="11" t="n">
        <f aca="false">SUM(P46:P51)</f>
        <v>26299.956</v>
      </c>
      <c r="Q52" s="11" t="n">
        <f aca="false">SUM(Q46:Q51)</f>
        <v>26827.2893333333</v>
      </c>
      <c r="R52" s="11" t="n">
        <f aca="false">SUM(R46:R51)</f>
        <v>26827.2893333333</v>
      </c>
      <c r="S52" s="11" t="n">
        <f aca="false">SUM(S46:S51)</f>
        <v>26827.2893333333</v>
      </c>
      <c r="T52" s="11" t="n">
        <f aca="false">SUM(T46:T51)</f>
        <v>26827.2893333333</v>
      </c>
      <c r="U52" s="11" t="n">
        <f aca="false">SUM(U46:U51)</f>
        <v>27030.4515</v>
      </c>
      <c r="V52" s="11" t="n">
        <f aca="false">SUM(V46:V51)</f>
        <v>27233.6136666667</v>
      </c>
      <c r="W52" s="11" t="n">
        <f aca="false">SUM(W46:W51)</f>
        <v>27436.7758333333</v>
      </c>
      <c r="X52" s="11" t="n">
        <f aca="false">SUM(X46:X51)</f>
        <v>27639.938</v>
      </c>
      <c r="Y52" s="11" t="n">
        <f aca="false">SUM(Y46:Y51)</f>
        <v>27843.1001666667</v>
      </c>
      <c r="Z52" s="11" t="n">
        <f aca="false">SUM(Z46:Z51)</f>
        <v>28046.2623333333</v>
      </c>
      <c r="AA52" s="11" t="n">
        <f aca="false">SUM(AA46:AA51)</f>
        <v>69082.7578333333</v>
      </c>
      <c r="AB52" s="11" t="n">
        <f aca="false">SUM(AB46:AB51)</f>
        <v>39285.92</v>
      </c>
      <c r="AC52" s="11" t="n">
        <f aca="false">SUM(AC46:AC51)</f>
        <v>39489.0821666667</v>
      </c>
      <c r="AD52" s="11" t="n">
        <f aca="false">SUM(AD46:AD51)</f>
        <v>39489.0821666667</v>
      </c>
      <c r="AE52" s="11" t="n">
        <f aca="false">SUM(AE46:AE51)</f>
        <v>39489.0821666667</v>
      </c>
      <c r="AF52" s="11" t="n">
        <f aca="false">SUM(AF46:AF51)</f>
        <v>39489.0821666667</v>
      </c>
      <c r="AG52" s="11" t="n">
        <f aca="false">SUM(AG46:AG51)</f>
        <v>39489.0821666667</v>
      </c>
      <c r="AH52" s="11" t="n">
        <f aca="false">SUM(AH46:AH51)</f>
        <v>39489.0821666667</v>
      </c>
      <c r="AI52" s="11" t="n">
        <f aca="false">SUM(AI46:AI51)</f>
        <v>39489.0821666667</v>
      </c>
      <c r="AJ52" s="11" t="n">
        <f aca="false">SUM(AJ46:AJ51)</f>
        <v>39489.0821666667</v>
      </c>
      <c r="AK52" s="11" t="n">
        <f aca="false">SUM(AK46:AK51)</f>
        <v>39489.0821666667</v>
      </c>
      <c r="AL52" s="11" t="n">
        <f aca="false">SUM(AL46:AL51)</f>
        <v>39489.0821666667</v>
      </c>
      <c r="AM52" s="11" t="n">
        <f aca="false">SUM(AM46:AM51)</f>
        <v>47822.4155</v>
      </c>
      <c r="AN52" s="11" t="n">
        <f aca="false">SUM(AN46:AN51)</f>
        <v>47822.4155</v>
      </c>
      <c r="AO52" s="11" t="n">
        <f aca="false">SUM(AO46:AO51)</f>
        <v>47822.4155</v>
      </c>
      <c r="AP52" s="11" t="n">
        <f aca="false">SUM(AP46:AP51)</f>
        <v>47822.4155</v>
      </c>
      <c r="AQ52" s="11" t="n">
        <f aca="false">SUM(AQ46:AQ51)</f>
        <v>47822.4155</v>
      </c>
      <c r="AR52" s="11" t="n">
        <f aca="false">SUM(AR46:AR51)</f>
        <v>47822.4155</v>
      </c>
      <c r="AS52" s="11" t="n">
        <f aca="false">SUM(AS46:AS51)</f>
        <v>47822.4155</v>
      </c>
      <c r="AT52" s="11" t="n">
        <f aca="false">SUM(AT46:AT51)</f>
        <v>47822.4155</v>
      </c>
      <c r="AU52" s="11" t="n">
        <f aca="false">SUM(AU46:AU51)</f>
        <v>47822.4155</v>
      </c>
      <c r="AV52" s="11" t="n">
        <f aca="false">SUM(AV46:AV51)</f>
        <v>47822.4155</v>
      </c>
      <c r="AW52" s="11" t="n">
        <f aca="false">SUM(AW46:AW51)</f>
        <v>47822.4155</v>
      </c>
      <c r="AX52" s="11" t="n">
        <f aca="false">SUM(AX46:AX51)</f>
        <v>47822.4155</v>
      </c>
      <c r="AY52" s="11" t="n">
        <f aca="false">SUM(AY46:AY51)</f>
        <v>56155.7488333333</v>
      </c>
      <c r="AZ52" s="11" t="n">
        <f aca="false">SUM(AZ46:AZ51)</f>
        <v>56155.7488333333</v>
      </c>
      <c r="BA52" s="11" t="n">
        <f aca="false">SUM(BA46:BA51)</f>
        <v>56155.7488333333</v>
      </c>
      <c r="BB52" s="11" t="n">
        <f aca="false">SUM(BB46:BB51)</f>
        <v>56155.7488333333</v>
      </c>
      <c r="BC52" s="11" t="n">
        <f aca="false">SUM(BC46:BC51)</f>
        <v>56155.7488333333</v>
      </c>
      <c r="BD52" s="11" t="n">
        <f aca="false">SUM(BD46:BD51)</f>
        <v>56155.7488333333</v>
      </c>
      <c r="BE52" s="11" t="n">
        <f aca="false">SUM(BE46:BE51)</f>
        <v>56155.7488333333</v>
      </c>
      <c r="BF52" s="11" t="n">
        <f aca="false">SUM(BF46:BF51)</f>
        <v>56155.7488333333</v>
      </c>
      <c r="BG52" s="11" t="n">
        <f aca="false">SUM(BG46:BG51)</f>
        <v>56155.7488333333</v>
      </c>
      <c r="BH52" s="11" t="n">
        <f aca="false">SUM(BH46:BH51)</f>
        <v>56155.7488333333</v>
      </c>
      <c r="BI52" s="11" t="n">
        <f aca="false">SUM(BI46:BI51)</f>
        <v>56155.7488333333</v>
      </c>
      <c r="BJ52" s="11" t="n">
        <f aca="false">SUM(BJ46:BJ51)</f>
        <v>56155.7488333333</v>
      </c>
    </row>
    <row r="54" customFormat="false" ht="15" hidden="false" customHeight="false" outlineLevel="0" collapsed="false">
      <c r="A54" s="10" t="s">
        <v>139</v>
      </c>
      <c r="C54" s="11" t="n">
        <f aca="false">C42-C52</f>
        <v>-27751.6527855887</v>
      </c>
      <c r="D54" s="11" t="n">
        <f aca="false">D42-D52</f>
        <v>-8885.72940751451</v>
      </c>
      <c r="E54" s="11" t="n">
        <f aca="false">E42-E52</f>
        <v>-9871.61290338992</v>
      </c>
      <c r="F54" s="11" t="n">
        <f aca="false">F42-F52</f>
        <v>-10711.9707494839</v>
      </c>
      <c r="G54" s="11" t="n">
        <f aca="false">G42-G52</f>
        <v>-11409.4224074924</v>
      </c>
      <c r="H54" s="11" t="n">
        <f aca="false">H42-H52</f>
        <v>-11966.5401888011</v>
      </c>
      <c r="I54" s="11" t="n">
        <f aca="false">I42-I52</f>
        <v>-12848.1871532128</v>
      </c>
      <c r="J54" s="11" t="n">
        <f aca="false">J42-J52</f>
        <v>-13530.6804420982</v>
      </c>
      <c r="K54" s="11" t="n">
        <f aca="false">K42-K52</f>
        <v>-14017.6048216169</v>
      </c>
      <c r="L54" s="11" t="n">
        <f aca="false">L42-L52</f>
        <v>-13027.4944132153</v>
      </c>
      <c r="M54" s="11" t="n">
        <f aca="false">M42-M52</f>
        <v>-11999.7017088539</v>
      </c>
      <c r="N54" s="11" t="n">
        <f aca="false">N42-N52</f>
        <v>-10934.9049898599</v>
      </c>
      <c r="O54" s="11" t="n">
        <f aca="false">O42-O52</f>
        <v>-11870.1603390903</v>
      </c>
      <c r="P54" s="11" t="n">
        <f aca="false">P42-P52</f>
        <v>-10623.5614394414</v>
      </c>
      <c r="Q54" s="11" t="n">
        <f aca="false">Q42-Q52</f>
        <v>-9339.71114306504</v>
      </c>
      <c r="R54" s="11" t="n">
        <f aca="false">R42-R52</f>
        <v>-7561.12881869014</v>
      </c>
      <c r="S54" s="11" t="n">
        <f aca="false">S42-S52</f>
        <v>-5814.56097615398</v>
      </c>
      <c r="T54" s="11" t="n">
        <f aca="false">T42-T52</f>
        <v>-4099.43135478348</v>
      </c>
      <c r="U54" s="11" t="n">
        <f aca="false">U42-U52</f>
        <v>-2583.04507976288</v>
      </c>
      <c r="V54" s="11" t="n">
        <f aca="false">V42-V52</f>
        <v>-1062.31952319125</v>
      </c>
      <c r="W54" s="11" t="n">
        <f aca="false">W42-W52</f>
        <v>462.667207863517</v>
      </c>
      <c r="X54" s="11" t="n">
        <f aca="false">X42-X52</f>
        <v>1991.83841226072</v>
      </c>
      <c r="Y54" s="11" t="n">
        <f aca="false">Y42-Y52</f>
        <v>3525.11876948018</v>
      </c>
      <c r="Z54" s="11" t="n">
        <f aca="false">Z42-Z52</f>
        <v>5062.43431477112</v>
      </c>
      <c r="AA54" s="11" t="n">
        <f aca="false">AA42-AA52</f>
        <v>-31949.5113574396</v>
      </c>
      <c r="AB54" s="11" t="n">
        <f aca="false">AB42-AB52</f>
        <v>-292.080628292897</v>
      </c>
      <c r="AC54" s="11" t="n">
        <f aca="false">AC42-AC52</f>
        <v>1369.27577693742</v>
      </c>
      <c r="AD54" s="11" t="n">
        <f aca="false">AD42-AD52</f>
        <v>3200.23301454026</v>
      </c>
      <c r="AE54" s="11" t="n">
        <f aca="false">AE42-AE52</f>
        <v>4998.23302186623</v>
      </c>
      <c r="AF54" s="11" t="n">
        <f aca="false">AF42-AF52</f>
        <v>6763.86902906036</v>
      </c>
      <c r="AG54" s="11" t="n">
        <f aca="false">AG42-AG52</f>
        <v>8497.72358812498</v>
      </c>
      <c r="AH54" s="11" t="n">
        <f aca="false">AH42-AH52</f>
        <v>10200.3687651264</v>
      </c>
      <c r="AI54" s="11" t="n">
        <f aca="false">AI42-AI52</f>
        <v>11872.3663289419</v>
      </c>
      <c r="AJ54" s="11" t="n">
        <f aca="false">AJ42-AJ52</f>
        <v>13514.2679366086</v>
      </c>
      <c r="AK54" s="11" t="n">
        <f aca="false">AK42-AK52</f>
        <v>15126.6153153374</v>
      </c>
      <c r="AL54" s="11" t="n">
        <f aca="false">AL42-AL52</f>
        <v>16709.940441249</v>
      </c>
      <c r="AM54" s="11" t="n">
        <f aca="false">AM42-AM52</f>
        <v>13630.5295650228</v>
      </c>
      <c r="AN54" s="11" t="n">
        <f aca="false">AN42-AN52</f>
        <v>15253.9842300791</v>
      </c>
      <c r="AO54" s="11" t="n">
        <f aca="false">AO42-AO52</f>
        <v>16848.2167111643</v>
      </c>
      <c r="AP54" s="11" t="n">
        <f aca="false">AP42-AP52</f>
        <v>18413.75300759</v>
      </c>
      <c r="AQ54" s="11" t="n">
        <f aca="false">AQ42-AQ52</f>
        <v>19951.1096506801</v>
      </c>
      <c r="AR54" s="11" t="n">
        <f aca="false">AR42-AR52</f>
        <v>21460.7938741945</v>
      </c>
      <c r="AS54" s="11" t="n">
        <f aca="false">AS42-AS52</f>
        <v>22943.3037816857</v>
      </c>
      <c r="AT54" s="11" t="n">
        <f aca="false">AT42-AT52</f>
        <v>24399.128510842</v>
      </c>
      <c r="AU54" s="11" t="n">
        <f aca="false">AU42-AU52</f>
        <v>25828.7483948736</v>
      </c>
      <c r="AV54" s="11" t="n">
        <f aca="false">AV42-AV52</f>
        <v>27232.6351209925</v>
      </c>
      <c r="AW54" s="11" t="n">
        <f aca="false">AW42-AW52</f>
        <v>28611.2518860413</v>
      </c>
      <c r="AX54" s="11" t="n">
        <f aca="false">AX42-AX52</f>
        <v>29965.0535493193</v>
      </c>
      <c r="AY54" s="11" t="n">
        <f aca="false">AY42-AY52</f>
        <v>27948.9976350241</v>
      </c>
      <c r="AZ54" s="11" t="n">
        <f aca="false">AZ42-AZ52</f>
        <v>29336.0798702413</v>
      </c>
      <c r="BA54" s="11" t="n">
        <f aca="false">BA42-BA52</f>
        <v>30698.1946252245</v>
      </c>
      <c r="BB54" s="11" t="n">
        <f aca="false">BB42-BB52</f>
        <v>32035.7913146181</v>
      </c>
      <c r="BC54" s="11" t="n">
        <f aca="false">BC42-BC52</f>
        <v>33349.3112636026</v>
      </c>
      <c r="BD54" s="11" t="n">
        <f aca="false">BD42-BD52</f>
        <v>34639.1878535053</v>
      </c>
      <c r="BE54" s="11" t="n">
        <f aca="false">BE42-BE52</f>
        <v>35905.8466647898</v>
      </c>
      <c r="BF54" s="11" t="n">
        <f aca="false">BF42-BF52</f>
        <v>37149.7056174712</v>
      </c>
      <c r="BG54" s="11" t="n">
        <f aca="false">BG42-BG52</f>
        <v>38371.1751090043</v>
      </c>
      <c r="BH54" s="11" t="n">
        <f aca="false">BH42-BH52</f>
        <v>39570.6581496898</v>
      </c>
      <c r="BI54" s="11" t="n">
        <f aca="false">BI42-BI52</f>
        <v>40748.550495643</v>
      </c>
      <c r="BJ54" s="11" t="n">
        <f aca="false">BJ42-BJ52</f>
        <v>41905.240779369</v>
      </c>
    </row>
    <row r="55" customFormat="false" ht="15" hidden="false" customHeight="false" outlineLevel="0" collapsed="false">
      <c r="A55" s="10" t="s">
        <v>140</v>
      </c>
      <c r="C55" s="11" t="n">
        <f aca="false">Assumptions!$B$47+C54</f>
        <v>22248.3472144113</v>
      </c>
      <c r="D55" s="11" t="n">
        <f aca="false">C55+D54</f>
        <v>13362.6178068967</v>
      </c>
      <c r="E55" s="11" t="n">
        <f aca="false">D55+E54</f>
        <v>3491.00490350683</v>
      </c>
      <c r="F55" s="11" t="n">
        <f aca="false">E55+F54</f>
        <v>-7220.96584597704</v>
      </c>
      <c r="G55" s="11" t="n">
        <f aca="false">F55+G54</f>
        <v>-18630.3882534695</v>
      </c>
      <c r="H55" s="11" t="n">
        <f aca="false">G55+H54</f>
        <v>-30596.9284422706</v>
      </c>
      <c r="I55" s="11" t="n">
        <f aca="false">H55+I54</f>
        <v>-43445.1155954833</v>
      </c>
      <c r="J55" s="11" t="n">
        <f aca="false">I55+J54</f>
        <v>-56975.7960375815</v>
      </c>
      <c r="K55" s="11" t="n">
        <f aca="false">J55+K54</f>
        <v>-70993.4008591984</v>
      </c>
      <c r="L55" s="11" t="n">
        <f aca="false">K55+L54</f>
        <v>-84020.8952724137</v>
      </c>
      <c r="M55" s="11" t="n">
        <f aca="false">L55+M54</f>
        <v>-96020.5969812676</v>
      </c>
      <c r="N55" s="11" t="n">
        <f aca="false">M55+N54</f>
        <v>-106955.501971127</v>
      </c>
      <c r="O55" s="11" t="n">
        <f aca="false">N55+O54</f>
        <v>-118825.662310218</v>
      </c>
      <c r="P55" s="11" t="n">
        <f aca="false">O55+P54</f>
        <v>-129449.223749659</v>
      </c>
      <c r="Q55" s="11" t="n">
        <f aca="false">P55+Q54</f>
        <v>-138788.934892724</v>
      </c>
      <c r="R55" s="11" t="n">
        <f aca="false">Q55+R54</f>
        <v>-146350.063711414</v>
      </c>
      <c r="S55" s="11" t="n">
        <f aca="false">R55+S54</f>
        <v>-152164.624687568</v>
      </c>
      <c r="T55" s="11" t="n">
        <f aca="false">S55+T54</f>
        <v>-156264.056042352</v>
      </c>
      <c r="U55" s="11" t="n">
        <f aca="false">T55+U54</f>
        <v>-158847.101122115</v>
      </c>
      <c r="V55" s="11" t="n">
        <f aca="false">U55+V54</f>
        <v>-159909.420645306</v>
      </c>
      <c r="W55" s="11" t="n">
        <f aca="false">V55+W54</f>
        <v>-159446.753437442</v>
      </c>
      <c r="X55" s="11" t="n">
        <f aca="false">W55+X54</f>
        <v>-157454.915025182</v>
      </c>
      <c r="Y55" s="11" t="n">
        <f aca="false">X55+Y54</f>
        <v>-153929.796255701</v>
      </c>
      <c r="Z55" s="11" t="n">
        <f aca="false">Y55+Z54</f>
        <v>-148867.36194093</v>
      </c>
      <c r="AA55" s="11" t="n">
        <f aca="false">Z55+AA54</f>
        <v>-180816.87329837</v>
      </c>
      <c r="AB55" s="11" t="n">
        <f aca="false">AA55+AB54</f>
        <v>-181108.953926663</v>
      </c>
      <c r="AC55" s="11" t="n">
        <f aca="false">AB55+AC54</f>
        <v>-179739.678149725</v>
      </c>
      <c r="AD55" s="11" t="n">
        <f aca="false">AC55+AD54</f>
        <v>-176539.445135185</v>
      </c>
      <c r="AE55" s="11" t="n">
        <f aca="false">AD55+AE54</f>
        <v>-171541.212113319</v>
      </c>
      <c r="AF55" s="11" t="n">
        <f aca="false">AE55+AF54</f>
        <v>-164777.343084259</v>
      </c>
      <c r="AG55" s="11" t="n">
        <f aca="false">AF55+AG54</f>
        <v>-156279.619496134</v>
      </c>
      <c r="AH55" s="11" t="n">
        <f aca="false">AG55+AH54</f>
        <v>-146079.250731007</v>
      </c>
      <c r="AI55" s="11" t="n">
        <f aca="false">AH55+AI54</f>
        <v>-134206.884402065</v>
      </c>
      <c r="AJ55" s="11" t="n">
        <f aca="false">AI55+AJ54</f>
        <v>-120692.616465457</v>
      </c>
      <c r="AK55" s="11" t="n">
        <f aca="false">AJ55+AK54</f>
        <v>-105566.001150119</v>
      </c>
      <c r="AL55" s="11" t="n">
        <f aca="false">AK55+AL54</f>
        <v>-88856.0607088702</v>
      </c>
      <c r="AM55" s="11" t="n">
        <f aca="false">AL55+AM54</f>
        <v>-75225.5311438474</v>
      </c>
      <c r="AN55" s="11" t="n">
        <f aca="false">AM55+AN54</f>
        <v>-59971.5469137683</v>
      </c>
      <c r="AO55" s="11" t="n">
        <f aca="false">AN55+AO54</f>
        <v>-43123.330202604</v>
      </c>
      <c r="AP55" s="11" t="n">
        <f aca="false">AO55+AP54</f>
        <v>-24709.577195014</v>
      </c>
      <c r="AQ55" s="11" t="n">
        <f aca="false">AP55+AQ54</f>
        <v>-4758.4675443339</v>
      </c>
      <c r="AR55" s="11" t="n">
        <f aca="false">AQ55+AR54</f>
        <v>16702.3263298606</v>
      </c>
      <c r="AS55" s="11" t="n">
        <f aca="false">AR55+AS54</f>
        <v>39645.6301115463</v>
      </c>
      <c r="AT55" s="11" t="n">
        <f aca="false">AS55+AT54</f>
        <v>64044.7586223884</v>
      </c>
      <c r="AU55" s="11" t="n">
        <f aca="false">AT55+AU54</f>
        <v>89873.5070172619</v>
      </c>
      <c r="AV55" s="11" t="n">
        <f aca="false">AU55+AV54</f>
        <v>117106.142138254</v>
      </c>
      <c r="AW55" s="11" t="n">
        <f aca="false">AV55+AW54</f>
        <v>145717.394024296</v>
      </c>
      <c r="AX55" s="11" t="n">
        <f aca="false">AW55+AX54</f>
        <v>175682.447573615</v>
      </c>
      <c r="AY55" s="11" t="n">
        <f aca="false">AX55+AY54</f>
        <v>203631.445208639</v>
      </c>
      <c r="AZ55" s="11" t="n">
        <f aca="false">AY55+AZ54</f>
        <v>232967.52507888</v>
      </c>
      <c r="BA55" s="11" t="n">
        <f aca="false">AZ55+BA54</f>
        <v>263665.719704105</v>
      </c>
      <c r="BB55" s="11" t="n">
        <f aca="false">BA55+BB54</f>
        <v>295701.511018723</v>
      </c>
      <c r="BC55" s="11" t="n">
        <f aca="false">BB55+BC54</f>
        <v>329050.822282326</v>
      </c>
      <c r="BD55" s="11" t="n">
        <f aca="false">BC55+BD54</f>
        <v>363690.010135831</v>
      </c>
      <c r="BE55" s="11" t="n">
        <f aca="false">BD55+BE54</f>
        <v>399595.856800621</v>
      </c>
      <c r="BF55" s="11" t="n">
        <f aca="false">BE55+BF54</f>
        <v>436745.562418092</v>
      </c>
      <c r="BG55" s="11" t="n">
        <f aca="false">BF55+BG54</f>
        <v>475116.737527096</v>
      </c>
      <c r="BH55" s="11" t="n">
        <f aca="false">BG55+BH54</f>
        <v>514687.395676786</v>
      </c>
      <c r="BI55" s="11" t="n">
        <f aca="false">BH55+BI54</f>
        <v>555435.946172429</v>
      </c>
      <c r="BJ55" s="11" t="n">
        <f aca="false">BI55+BJ54</f>
        <v>597341.186951798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7.35" hidden="false" customHeight="false" outlineLevel="0" collapsed="false">
      <c r="A1" s="1" t="s">
        <v>143</v>
      </c>
    </row>
    <row r="3" customFormat="false" ht="23.85" hidden="false" customHeight="false" outlineLevel="0" collapsed="false">
      <c r="A3" s="34" t="s">
        <v>144</v>
      </c>
      <c r="B3" s="35" t="s">
        <v>145</v>
      </c>
    </row>
    <row r="4" customFormat="false" ht="23.85" hidden="false" customHeight="false" outlineLevel="0" collapsed="false">
      <c r="A4" s="34" t="s">
        <v>146</v>
      </c>
      <c r="B4" s="35" t="s">
        <v>147</v>
      </c>
    </row>
    <row r="5" customFormat="false" ht="23.85" hidden="false" customHeight="false" outlineLevel="0" collapsed="false">
      <c r="A5" s="34" t="s">
        <v>44</v>
      </c>
      <c r="B5" s="35" t="s">
        <v>148</v>
      </c>
    </row>
    <row r="6" customFormat="false" ht="23.85" hidden="false" customHeight="false" outlineLevel="0" collapsed="false">
      <c r="A6" s="34" t="s">
        <v>48</v>
      </c>
      <c r="B6" s="35" t="s">
        <v>149</v>
      </c>
    </row>
    <row r="7" customFormat="false" ht="23.85" hidden="false" customHeight="false" outlineLevel="0" collapsed="false">
      <c r="A7" s="34" t="s">
        <v>150</v>
      </c>
      <c r="B7" s="35" t="s">
        <v>151</v>
      </c>
    </row>
    <row r="8" customFormat="false" ht="15" hidden="false" customHeight="false" outlineLevel="0" collapsed="false">
      <c r="A8" s="34" t="s">
        <v>152</v>
      </c>
      <c r="B8" s="35" t="s">
        <v>153</v>
      </c>
    </row>
    <row r="9" customFormat="false" ht="15" hidden="false" customHeight="false" outlineLevel="0" collapsed="false">
      <c r="A9" s="34" t="s">
        <v>154</v>
      </c>
      <c r="B9" s="35" t="s">
        <v>155</v>
      </c>
    </row>
    <row r="10" customFormat="false" ht="35.05" hidden="false" customHeight="false" outlineLevel="0" collapsed="false">
      <c r="A10" s="34" t="s">
        <v>156</v>
      </c>
      <c r="B10" s="35" t="s">
        <v>157</v>
      </c>
    </row>
    <row r="11" customFormat="false" ht="23.85" hidden="false" customHeight="false" outlineLevel="0" collapsed="false">
      <c r="A11" s="34" t="s">
        <v>158</v>
      </c>
      <c r="B11" s="35" t="s">
        <v>159</v>
      </c>
    </row>
    <row r="12" customFormat="false" ht="23.85" hidden="false" customHeight="false" outlineLevel="0" collapsed="false">
      <c r="A12" s="34" t="s">
        <v>160</v>
      </c>
      <c r="B12" s="35" t="s">
        <v>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2026-10-22T04:51:14Z</dcterms:created>
  <dc:creator>openpyxl</dc:creator>
  <dc:description/>
  <dc:language>en-US</dc:language>
  <cp:lastModifiedBy/>
  <dcterms:modified xsi:type="dcterms:W3CDTF">2026-10-22T04:51:22Z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